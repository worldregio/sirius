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claudegrasland1/worldregio/sirius/data/"/>
    </mc:Choice>
  </mc:AlternateContent>
  <xr:revisionPtr revIDLastSave="0" documentId="13_ncr:1_{BAD24DA5-0ADF-804D-95A6-01FDB72ECEE1}" xr6:coauthVersionLast="47" xr6:coauthVersionMax="47" xr10:uidLastSave="{00000000-0000-0000-0000-000000000000}"/>
  <bookViews>
    <workbookView xWindow="140" yWindow="1080" windowWidth="34240" windowHeight="20320" xr2:uid="{00000000-000D-0000-FFFF-FFFF00000000}"/>
  </bookViews>
  <sheets>
    <sheet name="synthesis" sheetId="2" r:id="rId1"/>
    <sheet name="ar_DZA_alnaha" sheetId="12" r:id="rId2"/>
    <sheet name="ar_EGY_alwafd" sheetId="5" r:id="rId3"/>
    <sheet name="fa_IRN_hamsha" sheetId="6" r:id="rId4"/>
    <sheet name="tr_TUR_sabah" sheetId="4" r:id="rId5"/>
    <sheet name="ru_RUS_nezgaz" sheetId="8" r:id="rId6"/>
    <sheet name="ru_UKR_fakty" sheetId="16" r:id="rId7"/>
    <sheet name="id_IDN_republ" sheetId="7" r:id="rId8"/>
    <sheet name="pt_BRA_oglobo" sheetId="1" r:id="rId9"/>
    <sheet name="fr_FRA_lmonde" sheetId="14" r:id="rId10"/>
    <sheet name="it_ITA_repubb" sheetId="10" r:id="rId11"/>
    <sheet name="es_ARG_nacion" sheetId="31" r:id="rId12"/>
    <sheet name="es_MEX_infom" sheetId="3" r:id="rId13"/>
    <sheet name="es_ESP_abc" sheetId="13" r:id="rId14"/>
    <sheet name="jp_JPN_shikok" sheetId="9" r:id="rId15"/>
    <sheet name="de_DEU_frankf" sheetId="19" r:id="rId16"/>
    <sheet name="en_CAN_tostar" sheetId="11" r:id="rId17"/>
    <sheet name="en_IND_tindia" sheetId="15" r:id="rId18"/>
    <sheet name="en_AUS_sydmor" sheetId="17" r:id="rId19"/>
    <sheet name="en_CHN_mopost" sheetId="22" r:id="rId20"/>
    <sheet name="en_GBR_indept" sheetId="23" r:id="rId21"/>
    <sheet name="en_ISR_jerpos" sheetId="20" r:id="rId22"/>
    <sheet name="en_KEN_standa" sheetId="24" r:id="rId23"/>
    <sheet name="en_NGA_vangua" sheetId="25" r:id="rId24"/>
    <sheet name="en_PAK_thenew" sheetId="27" r:id="rId25"/>
    <sheet name="en_SGP_today" sheetId="28" r:id="rId26"/>
    <sheet name="en_USA_nytime" sheetId="29" r:id="rId27"/>
    <sheet name="en_ZAF_times" sheetId="30" r:id="rId28"/>
    <sheet name="Feuil4" sheetId="26" r:id="rId29"/>
    <sheet name="Feuil2" sheetId="21" r:id="rId30"/>
    <sheet name="Feuil8" sheetId="18"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01" i="31" l="1"/>
  <c r="F101" i="31"/>
  <c r="G100" i="31"/>
  <c r="F100" i="31"/>
  <c r="G99" i="31"/>
  <c r="F99" i="31"/>
  <c r="G98" i="31"/>
  <c r="F98" i="31"/>
  <c r="G97" i="31"/>
  <c r="F97" i="31"/>
  <c r="G96" i="31"/>
  <c r="F96" i="31"/>
  <c r="G95" i="31"/>
  <c r="F95" i="31"/>
  <c r="G94" i="31"/>
  <c r="F94" i="31"/>
  <c r="G93" i="31"/>
  <c r="F93" i="31"/>
  <c r="G92" i="31"/>
  <c r="F92" i="31"/>
  <c r="G91" i="31"/>
  <c r="F91" i="31"/>
  <c r="G90" i="31"/>
  <c r="F90" i="31"/>
  <c r="G89" i="31"/>
  <c r="F89" i="31"/>
  <c r="G88" i="31"/>
  <c r="F88" i="31"/>
  <c r="G87" i="31"/>
  <c r="F87" i="31"/>
  <c r="G86" i="31"/>
  <c r="F86" i="31"/>
  <c r="G85" i="31"/>
  <c r="F85" i="31"/>
  <c r="G84" i="31"/>
  <c r="F84" i="31"/>
  <c r="G83" i="31"/>
  <c r="F83" i="31"/>
  <c r="G82" i="31"/>
  <c r="F82" i="31"/>
  <c r="G81" i="31"/>
  <c r="F81" i="31"/>
  <c r="G80" i="31"/>
  <c r="F80" i="31"/>
  <c r="G79" i="31"/>
  <c r="F79" i="31"/>
  <c r="G78" i="31"/>
  <c r="F78" i="31"/>
  <c r="G77" i="31"/>
  <c r="F77" i="31"/>
  <c r="G76" i="31"/>
  <c r="F76" i="31"/>
  <c r="G75" i="31"/>
  <c r="F75" i="31"/>
  <c r="G74" i="31"/>
  <c r="F74" i="31"/>
  <c r="G73" i="31"/>
  <c r="F73" i="31"/>
  <c r="G72" i="31"/>
  <c r="F72" i="31"/>
  <c r="G71" i="31"/>
  <c r="F71" i="31"/>
  <c r="G70" i="31"/>
  <c r="F70" i="31"/>
  <c r="G69" i="31"/>
  <c r="F69" i="31"/>
  <c r="G68" i="31"/>
  <c r="F68" i="31"/>
  <c r="G67" i="31"/>
  <c r="F67" i="31"/>
  <c r="G66" i="31"/>
  <c r="F66" i="31"/>
  <c r="G65" i="31"/>
  <c r="F65" i="31"/>
  <c r="G64" i="31"/>
  <c r="F64" i="31"/>
  <c r="G63" i="31"/>
  <c r="F63" i="31"/>
  <c r="G62" i="31"/>
  <c r="F62" i="31"/>
  <c r="G61" i="31"/>
  <c r="F61" i="31"/>
  <c r="G60" i="31"/>
  <c r="F60" i="31"/>
  <c r="G59" i="31"/>
  <c r="F59" i="31"/>
  <c r="G58" i="31"/>
  <c r="F58" i="31"/>
  <c r="G57" i="31"/>
  <c r="F57" i="31"/>
  <c r="G56" i="31"/>
  <c r="F56" i="31"/>
  <c r="G55" i="31"/>
  <c r="F55" i="31"/>
  <c r="G54" i="31"/>
  <c r="F54" i="31"/>
  <c r="G53" i="31"/>
  <c r="F53" i="31"/>
  <c r="G52" i="31"/>
  <c r="F52" i="31"/>
  <c r="G51" i="31"/>
  <c r="F51" i="31"/>
  <c r="G50" i="31"/>
  <c r="F50" i="31"/>
  <c r="G49" i="31"/>
  <c r="F49" i="31"/>
  <c r="G48" i="31"/>
  <c r="F48" i="31"/>
  <c r="G47" i="31"/>
  <c r="F47" i="31"/>
  <c r="G46" i="31"/>
  <c r="F46" i="31"/>
  <c r="G45" i="31"/>
  <c r="F45" i="31"/>
  <c r="G44" i="31"/>
  <c r="F44" i="31"/>
  <c r="G43" i="31"/>
  <c r="F43" i="31"/>
  <c r="G42" i="31"/>
  <c r="F42" i="31"/>
  <c r="G41" i="31"/>
  <c r="F41" i="31"/>
  <c r="G40" i="31"/>
  <c r="F40" i="31"/>
  <c r="G39" i="31"/>
  <c r="F39" i="31"/>
  <c r="G38" i="31"/>
  <c r="F38" i="31"/>
  <c r="G37" i="31"/>
  <c r="F37" i="31"/>
  <c r="G36" i="31"/>
  <c r="F36" i="31"/>
  <c r="G35" i="31"/>
  <c r="F35" i="31"/>
  <c r="G34" i="31"/>
  <c r="F34" i="31"/>
  <c r="G33" i="31"/>
  <c r="F33" i="31"/>
  <c r="F32" i="31"/>
  <c r="G31" i="31"/>
  <c r="F31" i="31"/>
  <c r="G30" i="31"/>
  <c r="F30" i="31"/>
  <c r="G29" i="31"/>
  <c r="F29" i="31"/>
  <c r="G28" i="31"/>
  <c r="F28" i="31"/>
  <c r="G27" i="31"/>
  <c r="F27" i="31"/>
  <c r="G26" i="31"/>
  <c r="F26" i="31"/>
  <c r="G25" i="31"/>
  <c r="F25" i="31"/>
  <c r="G24" i="31"/>
  <c r="F24" i="31"/>
  <c r="G23" i="31"/>
  <c r="F23" i="31"/>
  <c r="G22" i="31"/>
  <c r="F22" i="31"/>
  <c r="G21" i="31"/>
  <c r="F21" i="31"/>
  <c r="G20" i="31"/>
  <c r="F20" i="31"/>
  <c r="G19" i="31"/>
  <c r="F19" i="31"/>
  <c r="G18" i="31"/>
  <c r="F18" i="31"/>
  <c r="G17" i="31"/>
  <c r="F17" i="31"/>
  <c r="G16" i="31"/>
  <c r="F16" i="31"/>
  <c r="G15" i="31"/>
  <c r="F15" i="31"/>
  <c r="G14" i="31"/>
  <c r="F14" i="31"/>
  <c r="G13" i="31"/>
  <c r="F13" i="31"/>
  <c r="G12" i="31"/>
  <c r="F12" i="31"/>
  <c r="G11" i="31"/>
  <c r="F11" i="31"/>
  <c r="G10" i="31"/>
  <c r="F10" i="31"/>
  <c r="G9" i="31"/>
  <c r="F9" i="31"/>
  <c r="G8" i="31"/>
  <c r="F8" i="31"/>
  <c r="G7" i="31"/>
  <c r="F7" i="31"/>
  <c r="G6" i="31"/>
  <c r="F6" i="31"/>
  <c r="G5" i="31"/>
  <c r="F5" i="31"/>
  <c r="G4" i="31"/>
  <c r="F4" i="31"/>
  <c r="G3" i="31"/>
  <c r="F3" i="31"/>
  <c r="G2" i="31"/>
  <c r="F2" i="31"/>
  <c r="G25" i="2"/>
  <c r="H25" i="2"/>
  <c r="I25" i="2"/>
  <c r="D29" i="2"/>
  <c r="E29" i="2"/>
  <c r="F29" i="2"/>
  <c r="C29" i="2"/>
  <c r="G101" i="30"/>
  <c r="F101" i="30"/>
  <c r="G100" i="30"/>
  <c r="F100" i="30"/>
  <c r="G99" i="30"/>
  <c r="F99" i="30"/>
  <c r="G98" i="30"/>
  <c r="F98" i="30"/>
  <c r="G97" i="30"/>
  <c r="F97" i="30"/>
  <c r="G96" i="30"/>
  <c r="F96" i="30"/>
  <c r="G95" i="30"/>
  <c r="F95" i="30"/>
  <c r="G94" i="30"/>
  <c r="F94" i="30"/>
  <c r="G93" i="30"/>
  <c r="F93" i="30"/>
  <c r="G92" i="30"/>
  <c r="F92" i="30"/>
  <c r="G91" i="30"/>
  <c r="F91" i="30"/>
  <c r="G90" i="30"/>
  <c r="F90" i="30"/>
  <c r="G89" i="30"/>
  <c r="F89" i="30"/>
  <c r="G88" i="30"/>
  <c r="F88" i="30"/>
  <c r="G87" i="30"/>
  <c r="F87" i="30"/>
  <c r="G86" i="30"/>
  <c r="F86" i="30"/>
  <c r="G85" i="30"/>
  <c r="F85" i="30"/>
  <c r="G84" i="30"/>
  <c r="F84" i="30"/>
  <c r="G83" i="30"/>
  <c r="F83" i="30"/>
  <c r="G82" i="30"/>
  <c r="F82" i="30"/>
  <c r="G81" i="30"/>
  <c r="F81" i="30"/>
  <c r="G80" i="30"/>
  <c r="F80" i="30"/>
  <c r="G79" i="30"/>
  <c r="F79" i="30"/>
  <c r="G78" i="30"/>
  <c r="F78" i="30"/>
  <c r="G77" i="30"/>
  <c r="F77" i="30"/>
  <c r="G76" i="30"/>
  <c r="F76" i="30"/>
  <c r="G75" i="30"/>
  <c r="F75" i="30"/>
  <c r="G74" i="30"/>
  <c r="F74" i="30"/>
  <c r="G73" i="30"/>
  <c r="F73" i="30"/>
  <c r="G72" i="30"/>
  <c r="F72" i="30"/>
  <c r="G71" i="30"/>
  <c r="F71" i="30"/>
  <c r="G70" i="30"/>
  <c r="F70" i="30"/>
  <c r="G69" i="30"/>
  <c r="F69" i="30"/>
  <c r="G68" i="30"/>
  <c r="F68" i="30"/>
  <c r="G67" i="30"/>
  <c r="F67" i="30"/>
  <c r="G66" i="30"/>
  <c r="F66" i="30"/>
  <c r="G65" i="30"/>
  <c r="F65" i="30"/>
  <c r="G64" i="30"/>
  <c r="F64" i="30"/>
  <c r="G63" i="30"/>
  <c r="F63" i="30"/>
  <c r="G62" i="30"/>
  <c r="F62" i="30"/>
  <c r="G61" i="30"/>
  <c r="F61" i="30"/>
  <c r="G60" i="30"/>
  <c r="F60" i="30"/>
  <c r="G59" i="30"/>
  <c r="F59" i="30"/>
  <c r="G58" i="30"/>
  <c r="F58" i="30"/>
  <c r="G57" i="30"/>
  <c r="F57" i="30"/>
  <c r="G56" i="30"/>
  <c r="F56" i="30"/>
  <c r="G55" i="30"/>
  <c r="F55" i="30"/>
  <c r="G54" i="30"/>
  <c r="F54" i="30"/>
  <c r="G53" i="30"/>
  <c r="F53" i="30"/>
  <c r="G52" i="30"/>
  <c r="F52" i="30"/>
  <c r="G51" i="30"/>
  <c r="F51" i="30"/>
  <c r="G50" i="30"/>
  <c r="F50" i="30"/>
  <c r="G49" i="30"/>
  <c r="F49" i="30"/>
  <c r="G48" i="30"/>
  <c r="F48" i="30"/>
  <c r="G47" i="30"/>
  <c r="F47" i="30"/>
  <c r="G46" i="30"/>
  <c r="F46" i="30"/>
  <c r="G45" i="30"/>
  <c r="F45" i="30"/>
  <c r="G44" i="30"/>
  <c r="F44" i="30"/>
  <c r="G43" i="30"/>
  <c r="F43" i="30"/>
  <c r="G42" i="30"/>
  <c r="F42" i="30"/>
  <c r="G41" i="30"/>
  <c r="F41" i="30"/>
  <c r="G40" i="30"/>
  <c r="F40" i="30"/>
  <c r="G39" i="30"/>
  <c r="F39" i="30"/>
  <c r="G38" i="30"/>
  <c r="F38" i="30"/>
  <c r="G37" i="30"/>
  <c r="F37" i="30"/>
  <c r="G36" i="30"/>
  <c r="F36" i="30"/>
  <c r="G35" i="30"/>
  <c r="F35" i="30"/>
  <c r="G34" i="30"/>
  <c r="F34" i="30"/>
  <c r="G33" i="30"/>
  <c r="F33" i="30"/>
  <c r="G32" i="30"/>
  <c r="F32" i="30"/>
  <c r="G31" i="30"/>
  <c r="F31" i="30"/>
  <c r="G30" i="30"/>
  <c r="F30" i="30"/>
  <c r="G29" i="30"/>
  <c r="F29" i="30"/>
  <c r="G28" i="30"/>
  <c r="F28" i="30"/>
  <c r="G27" i="30"/>
  <c r="F27" i="30"/>
  <c r="G26" i="30"/>
  <c r="F26" i="30"/>
  <c r="G25" i="30"/>
  <c r="F25" i="30"/>
  <c r="G24" i="30"/>
  <c r="F24" i="30"/>
  <c r="G23" i="30"/>
  <c r="F23" i="30"/>
  <c r="G22" i="30"/>
  <c r="F22" i="30"/>
  <c r="G21" i="30"/>
  <c r="F21" i="30"/>
  <c r="G20" i="30"/>
  <c r="F20" i="30"/>
  <c r="G19" i="30"/>
  <c r="F19" i="30"/>
  <c r="G18" i="30"/>
  <c r="F18" i="30"/>
  <c r="G17" i="30"/>
  <c r="F17" i="30"/>
  <c r="G16" i="30"/>
  <c r="F16" i="30"/>
  <c r="G15" i="30"/>
  <c r="F15" i="30"/>
  <c r="G14" i="30"/>
  <c r="F14" i="30"/>
  <c r="G13" i="30"/>
  <c r="F13" i="30"/>
  <c r="G12" i="30"/>
  <c r="F12" i="30"/>
  <c r="G11" i="30"/>
  <c r="F11" i="30"/>
  <c r="G10" i="30"/>
  <c r="F10" i="30"/>
  <c r="G9" i="30"/>
  <c r="F9" i="30"/>
  <c r="G8" i="30"/>
  <c r="F8" i="30"/>
  <c r="G7" i="30"/>
  <c r="F7" i="30"/>
  <c r="G6" i="30"/>
  <c r="F6" i="30"/>
  <c r="G5" i="30"/>
  <c r="F5" i="30"/>
  <c r="G4" i="30"/>
  <c r="F4" i="30"/>
  <c r="G3" i="30"/>
  <c r="F3" i="30"/>
  <c r="G2" i="30"/>
  <c r="F2" i="30"/>
  <c r="G101" i="29"/>
  <c r="F101" i="29"/>
  <c r="G100" i="29"/>
  <c r="F100" i="29"/>
  <c r="G99" i="29"/>
  <c r="F99" i="29"/>
  <c r="G98" i="29"/>
  <c r="F98" i="29"/>
  <c r="G97" i="29"/>
  <c r="F97" i="29"/>
  <c r="G96" i="29"/>
  <c r="F96" i="29"/>
  <c r="G95" i="29"/>
  <c r="F95" i="29"/>
  <c r="G94" i="29"/>
  <c r="F94" i="29"/>
  <c r="G93" i="29"/>
  <c r="F93" i="29"/>
  <c r="G92" i="29"/>
  <c r="F92" i="29"/>
  <c r="G91" i="29"/>
  <c r="F91" i="29"/>
  <c r="G90" i="29"/>
  <c r="F90" i="29"/>
  <c r="G89" i="29"/>
  <c r="F89" i="29"/>
  <c r="G88" i="29"/>
  <c r="F88" i="29"/>
  <c r="G87" i="29"/>
  <c r="F87" i="29"/>
  <c r="G86" i="29"/>
  <c r="F86" i="29"/>
  <c r="G85" i="29"/>
  <c r="F85" i="29"/>
  <c r="G84" i="29"/>
  <c r="F84" i="29"/>
  <c r="G83" i="29"/>
  <c r="F83" i="29"/>
  <c r="G82" i="29"/>
  <c r="F82" i="29"/>
  <c r="G81" i="29"/>
  <c r="F81" i="29"/>
  <c r="G80" i="29"/>
  <c r="F80" i="29"/>
  <c r="G79" i="29"/>
  <c r="F79" i="29"/>
  <c r="G78" i="29"/>
  <c r="F78" i="29"/>
  <c r="G77" i="29"/>
  <c r="F77" i="29"/>
  <c r="G76" i="29"/>
  <c r="F76" i="29"/>
  <c r="G75" i="29"/>
  <c r="F75" i="29"/>
  <c r="G74" i="29"/>
  <c r="F74" i="29"/>
  <c r="G73" i="29"/>
  <c r="F73" i="29"/>
  <c r="G72" i="29"/>
  <c r="F72" i="29"/>
  <c r="G71" i="29"/>
  <c r="F71" i="29"/>
  <c r="G70" i="29"/>
  <c r="F70" i="29"/>
  <c r="G69" i="29"/>
  <c r="F69" i="29"/>
  <c r="G68" i="29"/>
  <c r="F68" i="29"/>
  <c r="G67" i="29"/>
  <c r="F67" i="29"/>
  <c r="G66" i="29"/>
  <c r="F66" i="29"/>
  <c r="G65" i="29"/>
  <c r="F65" i="29"/>
  <c r="G64" i="29"/>
  <c r="F64" i="29"/>
  <c r="G63" i="29"/>
  <c r="F63" i="29"/>
  <c r="G62" i="29"/>
  <c r="F62" i="29"/>
  <c r="G61" i="29"/>
  <c r="F61" i="29"/>
  <c r="G60" i="29"/>
  <c r="F60" i="29"/>
  <c r="G59" i="29"/>
  <c r="F59" i="29"/>
  <c r="G58" i="29"/>
  <c r="F58" i="29"/>
  <c r="G57" i="29"/>
  <c r="F57" i="29"/>
  <c r="G56" i="29"/>
  <c r="F56" i="29"/>
  <c r="G55" i="29"/>
  <c r="F55" i="29"/>
  <c r="G54" i="29"/>
  <c r="F54" i="29"/>
  <c r="G53" i="29"/>
  <c r="F53" i="29"/>
  <c r="G52" i="29"/>
  <c r="F52" i="29"/>
  <c r="G51" i="29"/>
  <c r="F51" i="29"/>
  <c r="G50" i="29"/>
  <c r="F50" i="29"/>
  <c r="G49" i="29"/>
  <c r="F49" i="29"/>
  <c r="G48" i="29"/>
  <c r="F48" i="29"/>
  <c r="G47" i="29"/>
  <c r="F47" i="29"/>
  <c r="G46" i="29"/>
  <c r="F46" i="29"/>
  <c r="G45" i="29"/>
  <c r="F45" i="29"/>
  <c r="G44" i="29"/>
  <c r="F44" i="29"/>
  <c r="G43" i="29"/>
  <c r="F43" i="29"/>
  <c r="G42" i="29"/>
  <c r="F42" i="29"/>
  <c r="G41" i="29"/>
  <c r="F41" i="29"/>
  <c r="G40" i="29"/>
  <c r="F40" i="29"/>
  <c r="G39" i="29"/>
  <c r="F39" i="29"/>
  <c r="G38" i="29"/>
  <c r="F38" i="29"/>
  <c r="G37" i="29"/>
  <c r="F37" i="29"/>
  <c r="G36" i="29"/>
  <c r="F36" i="29"/>
  <c r="G35" i="29"/>
  <c r="F35" i="29"/>
  <c r="G34" i="29"/>
  <c r="F34" i="29"/>
  <c r="G33" i="29"/>
  <c r="F33" i="29"/>
  <c r="G32" i="29"/>
  <c r="F32" i="29"/>
  <c r="G31" i="29"/>
  <c r="F31" i="29"/>
  <c r="G30" i="29"/>
  <c r="F30" i="29"/>
  <c r="G29" i="29"/>
  <c r="F29" i="29"/>
  <c r="G28" i="29"/>
  <c r="F28" i="29"/>
  <c r="G27" i="29"/>
  <c r="F27" i="29"/>
  <c r="G26" i="29"/>
  <c r="F26" i="29"/>
  <c r="G25" i="29"/>
  <c r="F25" i="29"/>
  <c r="G24" i="29"/>
  <c r="F24" i="29"/>
  <c r="G23" i="29"/>
  <c r="F23" i="29"/>
  <c r="G22" i="29"/>
  <c r="F22" i="29"/>
  <c r="G21" i="29"/>
  <c r="F21" i="29"/>
  <c r="G20" i="29"/>
  <c r="F20" i="29"/>
  <c r="G19" i="29"/>
  <c r="F19" i="29"/>
  <c r="G18" i="29"/>
  <c r="F18" i="29"/>
  <c r="G17" i="29"/>
  <c r="F17" i="29"/>
  <c r="G16" i="29"/>
  <c r="F16" i="29"/>
  <c r="G15" i="29"/>
  <c r="F15" i="29"/>
  <c r="G14" i="29"/>
  <c r="F14" i="29"/>
  <c r="G13" i="29"/>
  <c r="F13" i="29"/>
  <c r="G12" i="29"/>
  <c r="F12" i="29"/>
  <c r="G11" i="29"/>
  <c r="F11" i="29"/>
  <c r="G10" i="29"/>
  <c r="F10" i="29"/>
  <c r="G9" i="29"/>
  <c r="F9" i="29"/>
  <c r="G8" i="29"/>
  <c r="F8" i="29"/>
  <c r="G7" i="29"/>
  <c r="F7" i="29"/>
  <c r="G6" i="29"/>
  <c r="F6" i="29"/>
  <c r="G5" i="29"/>
  <c r="F5" i="29"/>
  <c r="G4" i="29"/>
  <c r="F4" i="29"/>
  <c r="G3" i="29"/>
  <c r="F3" i="29"/>
  <c r="G2" i="29"/>
  <c r="F2" i="29"/>
  <c r="G101" i="28"/>
  <c r="F101" i="28"/>
  <c r="G100" i="28"/>
  <c r="F100" i="28"/>
  <c r="G99" i="28"/>
  <c r="F99" i="28"/>
  <c r="G98" i="28"/>
  <c r="F98" i="28"/>
  <c r="G97" i="28"/>
  <c r="F97" i="28"/>
  <c r="G96" i="28"/>
  <c r="F96" i="28"/>
  <c r="G95" i="28"/>
  <c r="F95" i="28"/>
  <c r="G94" i="28"/>
  <c r="F94" i="28"/>
  <c r="G93" i="28"/>
  <c r="F93" i="28"/>
  <c r="G92" i="28"/>
  <c r="F92" i="28"/>
  <c r="G91" i="28"/>
  <c r="F91" i="28"/>
  <c r="G90" i="28"/>
  <c r="F90" i="28"/>
  <c r="G89" i="28"/>
  <c r="F89" i="28"/>
  <c r="G88" i="28"/>
  <c r="F88" i="28"/>
  <c r="G87" i="28"/>
  <c r="F87" i="28"/>
  <c r="G86" i="28"/>
  <c r="F86" i="28"/>
  <c r="G85" i="28"/>
  <c r="F85" i="28"/>
  <c r="G84" i="28"/>
  <c r="F84" i="28"/>
  <c r="G83" i="28"/>
  <c r="F83" i="28"/>
  <c r="G82" i="28"/>
  <c r="F82" i="28"/>
  <c r="G81" i="28"/>
  <c r="F81" i="28"/>
  <c r="G80" i="28"/>
  <c r="F80" i="28"/>
  <c r="G79" i="28"/>
  <c r="F79" i="28"/>
  <c r="G78" i="28"/>
  <c r="F78" i="28"/>
  <c r="G77" i="28"/>
  <c r="F77" i="28"/>
  <c r="G76" i="28"/>
  <c r="F76" i="28"/>
  <c r="G75" i="28"/>
  <c r="F75" i="28"/>
  <c r="G74" i="28"/>
  <c r="F74" i="28"/>
  <c r="G73" i="28"/>
  <c r="F73" i="28"/>
  <c r="G72" i="28"/>
  <c r="F72" i="28"/>
  <c r="G71" i="28"/>
  <c r="F71" i="28"/>
  <c r="G70" i="28"/>
  <c r="F70" i="28"/>
  <c r="G69" i="28"/>
  <c r="F69" i="28"/>
  <c r="G68" i="28"/>
  <c r="F68" i="28"/>
  <c r="G67" i="28"/>
  <c r="F67" i="28"/>
  <c r="G66" i="28"/>
  <c r="F66" i="28"/>
  <c r="G65" i="28"/>
  <c r="F65" i="28"/>
  <c r="G64" i="28"/>
  <c r="F64" i="28"/>
  <c r="G63" i="28"/>
  <c r="F63" i="28"/>
  <c r="G62" i="28"/>
  <c r="F62" i="28"/>
  <c r="G61" i="28"/>
  <c r="F61" i="28"/>
  <c r="G60" i="28"/>
  <c r="F60" i="28"/>
  <c r="G59" i="28"/>
  <c r="F59" i="28"/>
  <c r="G58" i="28"/>
  <c r="F58" i="28"/>
  <c r="G57" i="28"/>
  <c r="F57" i="28"/>
  <c r="G56" i="28"/>
  <c r="F56" i="28"/>
  <c r="G55" i="28"/>
  <c r="F55" i="28"/>
  <c r="G54" i="28"/>
  <c r="F54" i="28"/>
  <c r="G53" i="28"/>
  <c r="F53" i="28"/>
  <c r="G52" i="28"/>
  <c r="F52" i="28"/>
  <c r="G51" i="28"/>
  <c r="F51" i="28"/>
  <c r="G50" i="28"/>
  <c r="F50" i="28"/>
  <c r="G49" i="28"/>
  <c r="F49" i="28"/>
  <c r="G48" i="28"/>
  <c r="F48" i="28"/>
  <c r="G47" i="28"/>
  <c r="F47" i="28"/>
  <c r="G46" i="28"/>
  <c r="F46" i="28"/>
  <c r="G45" i="28"/>
  <c r="F45" i="28"/>
  <c r="G44" i="28"/>
  <c r="F44" i="28"/>
  <c r="G43" i="28"/>
  <c r="F43" i="28"/>
  <c r="G42" i="28"/>
  <c r="F42" i="28"/>
  <c r="G41" i="28"/>
  <c r="F41" i="28"/>
  <c r="G40" i="28"/>
  <c r="F40" i="28"/>
  <c r="G39" i="28"/>
  <c r="F39" i="28"/>
  <c r="G38" i="28"/>
  <c r="F38" i="28"/>
  <c r="G37" i="28"/>
  <c r="F37" i="28"/>
  <c r="G36" i="28"/>
  <c r="F36" i="28"/>
  <c r="G35" i="28"/>
  <c r="F35" i="28"/>
  <c r="G34" i="28"/>
  <c r="F34" i="28"/>
  <c r="G33" i="28"/>
  <c r="F33" i="28"/>
  <c r="G32" i="28"/>
  <c r="F32" i="28"/>
  <c r="G31" i="28"/>
  <c r="F31" i="28"/>
  <c r="G30" i="28"/>
  <c r="F30" i="28"/>
  <c r="G29" i="28"/>
  <c r="F29" i="28"/>
  <c r="G28" i="28"/>
  <c r="F28" i="28"/>
  <c r="G27" i="28"/>
  <c r="F27" i="28"/>
  <c r="G26" i="28"/>
  <c r="F26" i="28"/>
  <c r="G25" i="28"/>
  <c r="F25" i="28"/>
  <c r="G24" i="28"/>
  <c r="F24" i="28"/>
  <c r="G23" i="28"/>
  <c r="F23" i="28"/>
  <c r="G22" i="28"/>
  <c r="F22" i="28"/>
  <c r="G21" i="28"/>
  <c r="F21" i="28"/>
  <c r="G20" i="28"/>
  <c r="F20" i="28"/>
  <c r="G19" i="28"/>
  <c r="F19" i="28"/>
  <c r="G18" i="28"/>
  <c r="F18" i="28"/>
  <c r="G17" i="28"/>
  <c r="F17" i="28"/>
  <c r="G16" i="28"/>
  <c r="F16" i="28"/>
  <c r="G15" i="28"/>
  <c r="F15" i="28"/>
  <c r="G14" i="28"/>
  <c r="F14" i="28"/>
  <c r="G13" i="28"/>
  <c r="F13" i="28"/>
  <c r="G12" i="28"/>
  <c r="F12" i="28"/>
  <c r="G11" i="28"/>
  <c r="F11" i="28"/>
  <c r="G10" i="28"/>
  <c r="F10" i="28"/>
  <c r="G9" i="28"/>
  <c r="F9" i="28"/>
  <c r="G8" i="28"/>
  <c r="F8" i="28"/>
  <c r="G7" i="28"/>
  <c r="F7" i="28"/>
  <c r="G6" i="28"/>
  <c r="F6" i="28"/>
  <c r="G5" i="28"/>
  <c r="F5" i="28"/>
  <c r="G4" i="28"/>
  <c r="F4" i="28"/>
  <c r="G3" i="28"/>
  <c r="F3" i="28"/>
  <c r="G2" i="28"/>
  <c r="F2" i="28"/>
  <c r="G101" i="27"/>
  <c r="F101" i="27"/>
  <c r="G100" i="27"/>
  <c r="F100" i="27"/>
  <c r="G99" i="27"/>
  <c r="F99" i="27"/>
  <c r="G98" i="27"/>
  <c r="F98" i="27"/>
  <c r="G97" i="27"/>
  <c r="F97" i="27"/>
  <c r="G96" i="27"/>
  <c r="F96" i="27"/>
  <c r="G95" i="27"/>
  <c r="F95" i="27"/>
  <c r="G94" i="27"/>
  <c r="F94" i="27"/>
  <c r="G93" i="27"/>
  <c r="F93" i="27"/>
  <c r="G92" i="27"/>
  <c r="F92" i="27"/>
  <c r="G91" i="27"/>
  <c r="F91" i="27"/>
  <c r="G90" i="27"/>
  <c r="F90" i="27"/>
  <c r="G89" i="27"/>
  <c r="F89" i="27"/>
  <c r="G88" i="27"/>
  <c r="F88" i="27"/>
  <c r="G87" i="27"/>
  <c r="F87" i="27"/>
  <c r="G86" i="27"/>
  <c r="F86" i="27"/>
  <c r="G85" i="27"/>
  <c r="F85" i="27"/>
  <c r="G84" i="27"/>
  <c r="F84" i="27"/>
  <c r="G83" i="27"/>
  <c r="F83" i="27"/>
  <c r="G82" i="27"/>
  <c r="F82" i="27"/>
  <c r="G81" i="27"/>
  <c r="F81" i="27"/>
  <c r="G80" i="27"/>
  <c r="F80" i="27"/>
  <c r="G79" i="27"/>
  <c r="F79" i="27"/>
  <c r="G78" i="27"/>
  <c r="F78" i="27"/>
  <c r="G77" i="27"/>
  <c r="F77" i="27"/>
  <c r="G76" i="27"/>
  <c r="F76" i="27"/>
  <c r="G75" i="27"/>
  <c r="F75" i="27"/>
  <c r="G74" i="27"/>
  <c r="F74" i="27"/>
  <c r="G73" i="27"/>
  <c r="F73" i="27"/>
  <c r="G72" i="27"/>
  <c r="F72" i="27"/>
  <c r="G71" i="27"/>
  <c r="F71" i="27"/>
  <c r="G70" i="27"/>
  <c r="F70" i="27"/>
  <c r="G69" i="27"/>
  <c r="F69" i="27"/>
  <c r="G68" i="27"/>
  <c r="F68" i="27"/>
  <c r="G67" i="27"/>
  <c r="F67" i="27"/>
  <c r="G66" i="27"/>
  <c r="F66" i="27"/>
  <c r="G65" i="27"/>
  <c r="F65" i="27"/>
  <c r="G64" i="27"/>
  <c r="F64" i="27"/>
  <c r="G63" i="27"/>
  <c r="F63" i="27"/>
  <c r="G62" i="27"/>
  <c r="F62" i="27"/>
  <c r="G61" i="27"/>
  <c r="F61" i="27"/>
  <c r="G60" i="27"/>
  <c r="F60" i="27"/>
  <c r="G59" i="27"/>
  <c r="F59" i="27"/>
  <c r="G58" i="27"/>
  <c r="F58" i="27"/>
  <c r="G57" i="27"/>
  <c r="F57" i="27"/>
  <c r="G56" i="27"/>
  <c r="F56" i="27"/>
  <c r="G55" i="27"/>
  <c r="F55" i="27"/>
  <c r="G54" i="27"/>
  <c r="F54" i="27"/>
  <c r="G53" i="27"/>
  <c r="F53" i="27"/>
  <c r="G52" i="27"/>
  <c r="F52" i="27"/>
  <c r="G51" i="27"/>
  <c r="F51" i="27"/>
  <c r="G50" i="27"/>
  <c r="F50" i="27"/>
  <c r="G49" i="27"/>
  <c r="F49" i="27"/>
  <c r="G48" i="27"/>
  <c r="F48" i="27"/>
  <c r="G47" i="27"/>
  <c r="F47" i="27"/>
  <c r="G46" i="27"/>
  <c r="F46" i="27"/>
  <c r="G45" i="27"/>
  <c r="F45" i="27"/>
  <c r="G44" i="27"/>
  <c r="F44" i="27"/>
  <c r="G43" i="27"/>
  <c r="F43" i="27"/>
  <c r="G42" i="27"/>
  <c r="F42" i="27"/>
  <c r="G41" i="27"/>
  <c r="F41" i="27"/>
  <c r="G40" i="27"/>
  <c r="F40" i="27"/>
  <c r="G39" i="27"/>
  <c r="F39" i="27"/>
  <c r="G38" i="27"/>
  <c r="F38" i="27"/>
  <c r="G37" i="27"/>
  <c r="F37" i="27"/>
  <c r="G36" i="27"/>
  <c r="F36" i="27"/>
  <c r="G35" i="27"/>
  <c r="F35" i="27"/>
  <c r="G34" i="27"/>
  <c r="F34" i="27"/>
  <c r="G33" i="27"/>
  <c r="F33" i="27"/>
  <c r="G32" i="27"/>
  <c r="F32" i="27"/>
  <c r="G31" i="27"/>
  <c r="F31" i="27"/>
  <c r="G30" i="27"/>
  <c r="F30" i="27"/>
  <c r="G29" i="27"/>
  <c r="F29" i="27"/>
  <c r="G28" i="27"/>
  <c r="F28" i="27"/>
  <c r="G27" i="27"/>
  <c r="F27" i="27"/>
  <c r="G26" i="27"/>
  <c r="F26" i="27"/>
  <c r="G25" i="27"/>
  <c r="F25" i="27"/>
  <c r="G24" i="27"/>
  <c r="F24" i="27"/>
  <c r="G23" i="27"/>
  <c r="F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G4" i="27"/>
  <c r="F4" i="27"/>
  <c r="G3" i="27"/>
  <c r="F3" i="27"/>
  <c r="G2" i="27"/>
  <c r="F2" i="27"/>
  <c r="G101" i="26"/>
  <c r="F101" i="26"/>
  <c r="G100" i="26"/>
  <c r="F100" i="26"/>
  <c r="G99" i="26"/>
  <c r="F99" i="26"/>
  <c r="G98" i="26"/>
  <c r="F98" i="26"/>
  <c r="G97" i="26"/>
  <c r="F97" i="26"/>
  <c r="G96" i="26"/>
  <c r="F96" i="26"/>
  <c r="G95" i="26"/>
  <c r="F95" i="26"/>
  <c r="G94" i="26"/>
  <c r="F94" i="26"/>
  <c r="G93" i="26"/>
  <c r="F93" i="26"/>
  <c r="G92" i="26"/>
  <c r="F92" i="26"/>
  <c r="G91" i="26"/>
  <c r="F91" i="26"/>
  <c r="G90" i="26"/>
  <c r="F90" i="26"/>
  <c r="G89" i="26"/>
  <c r="F89" i="26"/>
  <c r="G88" i="26"/>
  <c r="F88" i="26"/>
  <c r="G87" i="26"/>
  <c r="F87" i="26"/>
  <c r="G86" i="26"/>
  <c r="F86" i="26"/>
  <c r="G85" i="26"/>
  <c r="F85" i="26"/>
  <c r="G84" i="26"/>
  <c r="F84" i="26"/>
  <c r="G83" i="26"/>
  <c r="F83" i="26"/>
  <c r="G82" i="26"/>
  <c r="F82" i="26"/>
  <c r="G81" i="26"/>
  <c r="F81" i="26"/>
  <c r="G80" i="26"/>
  <c r="F80" i="26"/>
  <c r="G79" i="26"/>
  <c r="F79" i="26"/>
  <c r="G78" i="26"/>
  <c r="F78" i="26"/>
  <c r="G77" i="26"/>
  <c r="F77" i="26"/>
  <c r="G76" i="26"/>
  <c r="F76" i="26"/>
  <c r="G75" i="26"/>
  <c r="F75" i="26"/>
  <c r="G74" i="26"/>
  <c r="F74" i="26"/>
  <c r="G73" i="26"/>
  <c r="F73" i="26"/>
  <c r="G72" i="26"/>
  <c r="F72" i="26"/>
  <c r="G71" i="26"/>
  <c r="F71" i="26"/>
  <c r="G70" i="26"/>
  <c r="F70" i="26"/>
  <c r="G69" i="26"/>
  <c r="F69" i="26"/>
  <c r="G68" i="26"/>
  <c r="F68" i="26"/>
  <c r="G67" i="26"/>
  <c r="F67" i="26"/>
  <c r="G66" i="26"/>
  <c r="F66" i="26"/>
  <c r="G65" i="26"/>
  <c r="F65" i="26"/>
  <c r="G64" i="26"/>
  <c r="F64" i="26"/>
  <c r="G63" i="26"/>
  <c r="F63" i="26"/>
  <c r="G62" i="26"/>
  <c r="F62" i="26"/>
  <c r="G61" i="26"/>
  <c r="F61" i="26"/>
  <c r="G60" i="26"/>
  <c r="F60" i="26"/>
  <c r="G59" i="26"/>
  <c r="F59" i="26"/>
  <c r="G58" i="26"/>
  <c r="F58" i="26"/>
  <c r="G57" i="26"/>
  <c r="F57" i="26"/>
  <c r="G56" i="26"/>
  <c r="F56" i="26"/>
  <c r="G55" i="26"/>
  <c r="F55" i="26"/>
  <c r="G54" i="26"/>
  <c r="F54" i="26"/>
  <c r="G53" i="26"/>
  <c r="F53" i="26"/>
  <c r="G52" i="26"/>
  <c r="F52" i="26"/>
  <c r="G51" i="26"/>
  <c r="F51" i="26"/>
  <c r="G50" i="26"/>
  <c r="F50" i="26"/>
  <c r="G49" i="26"/>
  <c r="F49" i="26"/>
  <c r="G48" i="26"/>
  <c r="F48" i="26"/>
  <c r="G47" i="26"/>
  <c r="F47" i="26"/>
  <c r="G46" i="26"/>
  <c r="F46" i="26"/>
  <c r="G45" i="26"/>
  <c r="F45" i="26"/>
  <c r="G44" i="26"/>
  <c r="F44" i="26"/>
  <c r="G43" i="26"/>
  <c r="F43" i="26"/>
  <c r="G42" i="26"/>
  <c r="F42" i="26"/>
  <c r="G41" i="26"/>
  <c r="F41" i="26"/>
  <c r="G40" i="26"/>
  <c r="F40" i="26"/>
  <c r="G39" i="26"/>
  <c r="F39" i="26"/>
  <c r="G38" i="26"/>
  <c r="F38" i="26"/>
  <c r="G37" i="26"/>
  <c r="F37" i="26"/>
  <c r="G36" i="26"/>
  <c r="F36" i="26"/>
  <c r="G35" i="26"/>
  <c r="F35" i="26"/>
  <c r="G34" i="26"/>
  <c r="F34" i="26"/>
  <c r="G33" i="26"/>
  <c r="F33" i="26"/>
  <c r="G32" i="26"/>
  <c r="F32" i="26"/>
  <c r="G31" i="26"/>
  <c r="F31" i="26"/>
  <c r="G30" i="26"/>
  <c r="F30" i="26"/>
  <c r="G29" i="26"/>
  <c r="F29" i="26"/>
  <c r="G28" i="26"/>
  <c r="F28" i="26"/>
  <c r="G27" i="26"/>
  <c r="F27" i="26"/>
  <c r="G26" i="26"/>
  <c r="F26" i="26"/>
  <c r="G25" i="26"/>
  <c r="F25" i="26"/>
  <c r="G24" i="26"/>
  <c r="F24" i="26"/>
  <c r="G23" i="26"/>
  <c r="F23" i="26"/>
  <c r="G22" i="26"/>
  <c r="F22" i="26"/>
  <c r="G21" i="26"/>
  <c r="F21" i="26"/>
  <c r="G20" i="26"/>
  <c r="F20" i="26"/>
  <c r="G19" i="26"/>
  <c r="F19" i="26"/>
  <c r="G18" i="26"/>
  <c r="F18" i="26"/>
  <c r="G17" i="26"/>
  <c r="F17" i="26"/>
  <c r="G16" i="26"/>
  <c r="F16" i="26"/>
  <c r="G15" i="26"/>
  <c r="F15" i="26"/>
  <c r="G14" i="26"/>
  <c r="F14" i="26"/>
  <c r="G13" i="26"/>
  <c r="F13" i="26"/>
  <c r="G12" i="26"/>
  <c r="F12" i="26"/>
  <c r="G11" i="26"/>
  <c r="F11" i="26"/>
  <c r="G10" i="26"/>
  <c r="F10" i="26"/>
  <c r="G9" i="26"/>
  <c r="F9" i="26"/>
  <c r="G8" i="26"/>
  <c r="F8" i="26"/>
  <c r="G7" i="26"/>
  <c r="F7" i="26"/>
  <c r="G6" i="26"/>
  <c r="F6" i="26"/>
  <c r="G5" i="26"/>
  <c r="F5" i="26"/>
  <c r="G4" i="26"/>
  <c r="F4" i="26"/>
  <c r="G3" i="26"/>
  <c r="F3" i="26"/>
  <c r="G2" i="26"/>
  <c r="F2" i="26"/>
  <c r="G101" i="25"/>
  <c r="F101" i="25"/>
  <c r="G100" i="25"/>
  <c r="F100" i="25"/>
  <c r="G99" i="25"/>
  <c r="F99" i="25"/>
  <c r="G98" i="25"/>
  <c r="F98" i="25"/>
  <c r="G97" i="25"/>
  <c r="F97" i="25"/>
  <c r="G96" i="25"/>
  <c r="F96" i="25"/>
  <c r="G95" i="25"/>
  <c r="F95" i="25"/>
  <c r="G94" i="25"/>
  <c r="F94" i="25"/>
  <c r="G93" i="25"/>
  <c r="F93" i="25"/>
  <c r="G92" i="25"/>
  <c r="F92" i="25"/>
  <c r="G91" i="25"/>
  <c r="F91" i="25"/>
  <c r="G90" i="25"/>
  <c r="F90" i="25"/>
  <c r="G89" i="25"/>
  <c r="F89" i="25"/>
  <c r="G88" i="25"/>
  <c r="F88" i="25"/>
  <c r="G87" i="25"/>
  <c r="F87" i="25"/>
  <c r="G86" i="25"/>
  <c r="F86" i="25"/>
  <c r="G85" i="25"/>
  <c r="F85" i="25"/>
  <c r="G84" i="25"/>
  <c r="F84" i="25"/>
  <c r="G83" i="25"/>
  <c r="F83" i="25"/>
  <c r="G82" i="25"/>
  <c r="F82" i="25"/>
  <c r="G81" i="25"/>
  <c r="F81" i="25"/>
  <c r="G80" i="25"/>
  <c r="F80" i="25"/>
  <c r="G79" i="25"/>
  <c r="F79" i="25"/>
  <c r="G78" i="25"/>
  <c r="F78" i="25"/>
  <c r="G77" i="25"/>
  <c r="F77" i="25"/>
  <c r="G76" i="25"/>
  <c r="F76" i="25"/>
  <c r="G75" i="25"/>
  <c r="F75" i="25"/>
  <c r="G74" i="25"/>
  <c r="F74" i="25"/>
  <c r="G73" i="25"/>
  <c r="F73" i="25"/>
  <c r="G72" i="25"/>
  <c r="F72" i="25"/>
  <c r="G71" i="25"/>
  <c r="F71" i="25"/>
  <c r="G70" i="25"/>
  <c r="F70" i="25"/>
  <c r="G69" i="25"/>
  <c r="F69" i="25"/>
  <c r="G68" i="25"/>
  <c r="F68" i="25"/>
  <c r="G67" i="25"/>
  <c r="F67" i="25"/>
  <c r="G66" i="25"/>
  <c r="F66" i="25"/>
  <c r="G65" i="25"/>
  <c r="F65" i="25"/>
  <c r="G64" i="25"/>
  <c r="F64" i="25"/>
  <c r="G63" i="25"/>
  <c r="F63" i="25"/>
  <c r="G62" i="25"/>
  <c r="F62" i="25"/>
  <c r="G61" i="25"/>
  <c r="F61" i="25"/>
  <c r="G60" i="25"/>
  <c r="F60" i="25"/>
  <c r="G59" i="25"/>
  <c r="F59" i="25"/>
  <c r="G58" i="25"/>
  <c r="F58" i="25"/>
  <c r="G57" i="25"/>
  <c r="F57" i="25"/>
  <c r="G56" i="25"/>
  <c r="F56" i="25"/>
  <c r="G55" i="25"/>
  <c r="F55" i="25"/>
  <c r="G54" i="25"/>
  <c r="F54" i="25"/>
  <c r="G53" i="25"/>
  <c r="F53" i="25"/>
  <c r="G52" i="25"/>
  <c r="F52" i="25"/>
  <c r="G51" i="25"/>
  <c r="F51" i="25"/>
  <c r="G50" i="25"/>
  <c r="F50" i="25"/>
  <c r="G49" i="25"/>
  <c r="F49" i="25"/>
  <c r="G48" i="25"/>
  <c r="F48" i="25"/>
  <c r="G47" i="25"/>
  <c r="F47" i="25"/>
  <c r="G46" i="25"/>
  <c r="F46" i="25"/>
  <c r="G45" i="25"/>
  <c r="F45" i="25"/>
  <c r="G44" i="25"/>
  <c r="F44" i="25"/>
  <c r="G43" i="25"/>
  <c r="F43" i="25"/>
  <c r="G42" i="25"/>
  <c r="F42" i="25"/>
  <c r="G41" i="25"/>
  <c r="F41" i="25"/>
  <c r="G40" i="25"/>
  <c r="F40" i="25"/>
  <c r="G39" i="25"/>
  <c r="F39" i="25"/>
  <c r="G38" i="25"/>
  <c r="F38" i="25"/>
  <c r="G37" i="25"/>
  <c r="F37" i="25"/>
  <c r="G36" i="25"/>
  <c r="F36" i="25"/>
  <c r="G35" i="25"/>
  <c r="F35" i="25"/>
  <c r="G34" i="25"/>
  <c r="F34" i="25"/>
  <c r="G33" i="25"/>
  <c r="F33" i="25"/>
  <c r="G32" i="25"/>
  <c r="F32" i="25"/>
  <c r="G31" i="25"/>
  <c r="F31" i="25"/>
  <c r="G30" i="25"/>
  <c r="F30" i="25"/>
  <c r="G29" i="25"/>
  <c r="F29" i="25"/>
  <c r="G28" i="25"/>
  <c r="F28" i="25"/>
  <c r="G27" i="25"/>
  <c r="F27" i="25"/>
  <c r="G26" i="25"/>
  <c r="F26" i="25"/>
  <c r="G25" i="25"/>
  <c r="F25" i="25"/>
  <c r="G24" i="25"/>
  <c r="F24" i="25"/>
  <c r="G23" i="25"/>
  <c r="F23" i="25"/>
  <c r="G22" i="25"/>
  <c r="F22" i="25"/>
  <c r="G21" i="25"/>
  <c r="F21" i="25"/>
  <c r="G20" i="25"/>
  <c r="F20" i="25"/>
  <c r="G19" i="25"/>
  <c r="F19" i="25"/>
  <c r="G18" i="25"/>
  <c r="F18" i="25"/>
  <c r="G17" i="25"/>
  <c r="F17" i="25"/>
  <c r="G16" i="25"/>
  <c r="F16" i="25"/>
  <c r="G15" i="25"/>
  <c r="F15" i="25"/>
  <c r="G14" i="25"/>
  <c r="F14" i="25"/>
  <c r="G13" i="25"/>
  <c r="F13" i="25"/>
  <c r="G12" i="25"/>
  <c r="F12" i="25"/>
  <c r="G11" i="25"/>
  <c r="F11" i="25"/>
  <c r="G10" i="25"/>
  <c r="F10" i="25"/>
  <c r="G9" i="25"/>
  <c r="F9" i="25"/>
  <c r="G8" i="25"/>
  <c r="F8" i="25"/>
  <c r="G7" i="25"/>
  <c r="F7" i="25"/>
  <c r="G6" i="25"/>
  <c r="F6" i="25"/>
  <c r="G5" i="25"/>
  <c r="F5" i="25"/>
  <c r="G4" i="25"/>
  <c r="F4" i="25"/>
  <c r="G3" i="25"/>
  <c r="F3" i="25"/>
  <c r="G2" i="25"/>
  <c r="F2" i="25"/>
  <c r="G101" i="24"/>
  <c r="F101" i="24"/>
  <c r="G100" i="24"/>
  <c r="F100" i="24"/>
  <c r="G99" i="24"/>
  <c r="F99" i="24"/>
  <c r="G98" i="24"/>
  <c r="F98" i="24"/>
  <c r="G97" i="24"/>
  <c r="F97" i="24"/>
  <c r="G96" i="24"/>
  <c r="F96" i="24"/>
  <c r="G95" i="24"/>
  <c r="F95" i="24"/>
  <c r="G94" i="24"/>
  <c r="F94" i="24"/>
  <c r="G93" i="24"/>
  <c r="F93" i="24"/>
  <c r="G92" i="24"/>
  <c r="F92" i="24"/>
  <c r="G91" i="24"/>
  <c r="F91" i="24"/>
  <c r="G90" i="24"/>
  <c r="F90" i="24"/>
  <c r="G89" i="24"/>
  <c r="F89" i="24"/>
  <c r="G88" i="24"/>
  <c r="F88" i="24"/>
  <c r="G87" i="24"/>
  <c r="F87" i="24"/>
  <c r="G86" i="24"/>
  <c r="F86" i="24"/>
  <c r="G85" i="24"/>
  <c r="F85" i="24"/>
  <c r="G84" i="24"/>
  <c r="F84" i="24"/>
  <c r="G83" i="24"/>
  <c r="F83" i="24"/>
  <c r="G82" i="24"/>
  <c r="F82" i="24"/>
  <c r="G81" i="24"/>
  <c r="F81" i="24"/>
  <c r="G80" i="24"/>
  <c r="F80" i="24"/>
  <c r="G79" i="24"/>
  <c r="F79" i="24"/>
  <c r="G78" i="24"/>
  <c r="F78" i="24"/>
  <c r="G77" i="24"/>
  <c r="F77" i="24"/>
  <c r="G76" i="24"/>
  <c r="F76" i="24"/>
  <c r="G75" i="24"/>
  <c r="F75" i="24"/>
  <c r="G74" i="24"/>
  <c r="F74" i="24"/>
  <c r="G73" i="24"/>
  <c r="F73" i="24"/>
  <c r="G72" i="24"/>
  <c r="F72" i="24"/>
  <c r="G71" i="24"/>
  <c r="F71" i="24"/>
  <c r="G70" i="24"/>
  <c r="F70" i="24"/>
  <c r="G69" i="24"/>
  <c r="F69" i="24"/>
  <c r="G68" i="24"/>
  <c r="F68" i="24"/>
  <c r="G67" i="24"/>
  <c r="F67" i="24"/>
  <c r="G66" i="24"/>
  <c r="F66" i="24"/>
  <c r="G65" i="24"/>
  <c r="F65" i="24"/>
  <c r="G64" i="24"/>
  <c r="F64" i="24"/>
  <c r="G63" i="24"/>
  <c r="F63" i="24"/>
  <c r="G62" i="24"/>
  <c r="F62" i="24"/>
  <c r="G61" i="24"/>
  <c r="F61" i="24"/>
  <c r="G60" i="24"/>
  <c r="F60" i="24"/>
  <c r="G59" i="24"/>
  <c r="F59" i="24"/>
  <c r="G58" i="24"/>
  <c r="F58" i="24"/>
  <c r="G57" i="24"/>
  <c r="F57" i="24"/>
  <c r="G56" i="24"/>
  <c r="F56" i="24"/>
  <c r="G55" i="24"/>
  <c r="F55" i="24"/>
  <c r="G54" i="24"/>
  <c r="F54" i="24"/>
  <c r="G53" i="24"/>
  <c r="F53" i="24"/>
  <c r="G52" i="24"/>
  <c r="F52" i="24"/>
  <c r="G51" i="24"/>
  <c r="F51" i="24"/>
  <c r="G50" i="24"/>
  <c r="F50" i="24"/>
  <c r="G49" i="24"/>
  <c r="F49" i="24"/>
  <c r="G48" i="24"/>
  <c r="F48" i="24"/>
  <c r="G47" i="24"/>
  <c r="F47" i="24"/>
  <c r="G46" i="24"/>
  <c r="F46" i="24"/>
  <c r="G45" i="24"/>
  <c r="F45" i="24"/>
  <c r="G44" i="24"/>
  <c r="F44" i="24"/>
  <c r="G43" i="24"/>
  <c r="F43" i="24"/>
  <c r="G42" i="24"/>
  <c r="F42" i="24"/>
  <c r="G41" i="24"/>
  <c r="F41" i="24"/>
  <c r="G40" i="24"/>
  <c r="F40" i="24"/>
  <c r="G39" i="24"/>
  <c r="F39" i="24"/>
  <c r="G38" i="24"/>
  <c r="F38" i="24"/>
  <c r="G37" i="24"/>
  <c r="F37" i="24"/>
  <c r="G36" i="24"/>
  <c r="F36" i="24"/>
  <c r="G35" i="24"/>
  <c r="F35" i="24"/>
  <c r="G34" i="24"/>
  <c r="F34" i="24"/>
  <c r="G33" i="24"/>
  <c r="F33" i="24"/>
  <c r="G32" i="24"/>
  <c r="F32" i="24"/>
  <c r="G31" i="24"/>
  <c r="F31" i="24"/>
  <c r="G30" i="24"/>
  <c r="F30" i="24"/>
  <c r="G29" i="24"/>
  <c r="F29" i="24"/>
  <c r="G28" i="24"/>
  <c r="F28" i="24"/>
  <c r="G27" i="24"/>
  <c r="F27" i="24"/>
  <c r="G26" i="24"/>
  <c r="F26" i="24"/>
  <c r="G25" i="24"/>
  <c r="F25" i="24"/>
  <c r="G24" i="24"/>
  <c r="F24" i="24"/>
  <c r="G23" i="24"/>
  <c r="F23" i="24"/>
  <c r="G22" i="24"/>
  <c r="F22" i="24"/>
  <c r="G21" i="24"/>
  <c r="F21" i="24"/>
  <c r="G20" i="24"/>
  <c r="F20" i="24"/>
  <c r="G19" i="24"/>
  <c r="F19" i="24"/>
  <c r="G18" i="24"/>
  <c r="F18" i="24"/>
  <c r="G17" i="24"/>
  <c r="F17" i="24"/>
  <c r="G16" i="24"/>
  <c r="F16" i="24"/>
  <c r="G15" i="24"/>
  <c r="F15" i="24"/>
  <c r="G14" i="24"/>
  <c r="F14" i="24"/>
  <c r="G13" i="24"/>
  <c r="F13" i="24"/>
  <c r="G12" i="24"/>
  <c r="F12" i="24"/>
  <c r="G11" i="24"/>
  <c r="F11" i="24"/>
  <c r="G10" i="24"/>
  <c r="F10" i="24"/>
  <c r="G9" i="24"/>
  <c r="F9" i="24"/>
  <c r="G8" i="24"/>
  <c r="F8" i="24"/>
  <c r="G7" i="24"/>
  <c r="F7" i="24"/>
  <c r="G6" i="24"/>
  <c r="F6" i="24"/>
  <c r="G5" i="24"/>
  <c r="F5" i="24"/>
  <c r="G4" i="24"/>
  <c r="F4" i="24"/>
  <c r="G3" i="24"/>
  <c r="F3" i="24"/>
  <c r="G2" i="24"/>
  <c r="F2" i="24"/>
  <c r="G101" i="23"/>
  <c r="F101" i="23"/>
  <c r="G100" i="23"/>
  <c r="F100" i="23"/>
  <c r="G99" i="23"/>
  <c r="F99" i="23"/>
  <c r="G98" i="23"/>
  <c r="F98" i="23"/>
  <c r="G97" i="23"/>
  <c r="F97" i="23"/>
  <c r="G96" i="23"/>
  <c r="F96" i="23"/>
  <c r="G95" i="23"/>
  <c r="F95" i="23"/>
  <c r="G94" i="23"/>
  <c r="F94" i="23"/>
  <c r="G93" i="23"/>
  <c r="F93" i="23"/>
  <c r="G92" i="23"/>
  <c r="F92" i="23"/>
  <c r="G91" i="23"/>
  <c r="F91" i="23"/>
  <c r="G90" i="23"/>
  <c r="F90" i="23"/>
  <c r="G89" i="23"/>
  <c r="F89" i="23"/>
  <c r="G88" i="23"/>
  <c r="F88" i="23"/>
  <c r="G87" i="23"/>
  <c r="F87" i="23"/>
  <c r="G86" i="23"/>
  <c r="F86" i="23"/>
  <c r="G85" i="23"/>
  <c r="F85" i="23"/>
  <c r="G84" i="23"/>
  <c r="F84" i="23"/>
  <c r="G83" i="23"/>
  <c r="F83" i="23"/>
  <c r="G82" i="23"/>
  <c r="F82" i="23"/>
  <c r="G81" i="23"/>
  <c r="F81" i="23"/>
  <c r="G80" i="23"/>
  <c r="F80" i="23"/>
  <c r="G79" i="23"/>
  <c r="F79" i="23"/>
  <c r="G78" i="23"/>
  <c r="F78" i="23"/>
  <c r="G77" i="23"/>
  <c r="F77" i="23"/>
  <c r="G76" i="23"/>
  <c r="F76" i="23"/>
  <c r="G75" i="23"/>
  <c r="F75" i="23"/>
  <c r="G74" i="23"/>
  <c r="F74" i="23"/>
  <c r="G73" i="23"/>
  <c r="F73" i="23"/>
  <c r="G72" i="23"/>
  <c r="F72" i="23"/>
  <c r="G71" i="23"/>
  <c r="F71" i="23"/>
  <c r="G70" i="23"/>
  <c r="F70" i="23"/>
  <c r="G69" i="23"/>
  <c r="F69" i="23"/>
  <c r="G68" i="23"/>
  <c r="F68" i="23"/>
  <c r="G67" i="23"/>
  <c r="F67" i="23"/>
  <c r="G66" i="23"/>
  <c r="F66" i="23"/>
  <c r="G65" i="23"/>
  <c r="F65" i="23"/>
  <c r="G64" i="23"/>
  <c r="F64" i="23"/>
  <c r="G63" i="23"/>
  <c r="F63" i="23"/>
  <c r="G62" i="23"/>
  <c r="F62" i="23"/>
  <c r="G61" i="23"/>
  <c r="F61" i="23"/>
  <c r="G60" i="23"/>
  <c r="F60" i="23"/>
  <c r="G59" i="23"/>
  <c r="F59" i="23"/>
  <c r="G58" i="23"/>
  <c r="F58" i="23"/>
  <c r="G57" i="23"/>
  <c r="F57" i="23"/>
  <c r="G56" i="23"/>
  <c r="F56" i="23"/>
  <c r="G55" i="23"/>
  <c r="F55" i="23"/>
  <c r="G54" i="23"/>
  <c r="F54" i="23"/>
  <c r="G53" i="23"/>
  <c r="F53" i="23"/>
  <c r="G52" i="23"/>
  <c r="F52" i="23"/>
  <c r="G51" i="23"/>
  <c r="F51" i="23"/>
  <c r="G50" i="23"/>
  <c r="F50" i="23"/>
  <c r="G49" i="23"/>
  <c r="F49" i="23"/>
  <c r="G48" i="23"/>
  <c r="F48" i="23"/>
  <c r="G47" i="23"/>
  <c r="F47" i="23"/>
  <c r="G46" i="23"/>
  <c r="F46" i="23"/>
  <c r="G45" i="23"/>
  <c r="F45" i="23"/>
  <c r="G44" i="23"/>
  <c r="F44" i="23"/>
  <c r="G43" i="23"/>
  <c r="F43" i="23"/>
  <c r="G42" i="23"/>
  <c r="F42" i="23"/>
  <c r="G41" i="23"/>
  <c r="F41" i="23"/>
  <c r="G40" i="23"/>
  <c r="F40"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G19" i="23"/>
  <c r="F19" i="23"/>
  <c r="G18" i="23"/>
  <c r="F18" i="23"/>
  <c r="G17" i="23"/>
  <c r="F17" i="23"/>
  <c r="G16" i="23"/>
  <c r="F16" i="23"/>
  <c r="G15" i="23"/>
  <c r="F15" i="23"/>
  <c r="G14" i="23"/>
  <c r="F14" i="23"/>
  <c r="G13" i="23"/>
  <c r="F13" i="23"/>
  <c r="G12" i="23"/>
  <c r="F12" i="23"/>
  <c r="G11" i="23"/>
  <c r="F11" i="23"/>
  <c r="G10" i="23"/>
  <c r="F10" i="23"/>
  <c r="G9" i="23"/>
  <c r="F9" i="23"/>
  <c r="G8" i="23"/>
  <c r="F8" i="23"/>
  <c r="G7" i="23"/>
  <c r="F7" i="23"/>
  <c r="G6" i="23"/>
  <c r="F6" i="23"/>
  <c r="G5" i="23"/>
  <c r="F5" i="23"/>
  <c r="G4" i="23"/>
  <c r="F4" i="23"/>
  <c r="G3" i="23"/>
  <c r="F3" i="23"/>
  <c r="G2" i="23"/>
  <c r="F2" i="23"/>
  <c r="G101" i="22"/>
  <c r="F101" i="22"/>
  <c r="G100" i="22"/>
  <c r="F100" i="22"/>
  <c r="G99" i="22"/>
  <c r="F99" i="22"/>
  <c r="G98" i="22"/>
  <c r="F98" i="22"/>
  <c r="G97" i="22"/>
  <c r="F97" i="22"/>
  <c r="G96" i="22"/>
  <c r="F96" i="22"/>
  <c r="G95" i="22"/>
  <c r="F95" i="22"/>
  <c r="G94" i="22"/>
  <c r="F94" i="22"/>
  <c r="G93" i="22"/>
  <c r="F93" i="22"/>
  <c r="G92" i="22"/>
  <c r="F92" i="22"/>
  <c r="G91" i="22"/>
  <c r="F91" i="22"/>
  <c r="G90" i="22"/>
  <c r="F90" i="22"/>
  <c r="G89" i="22"/>
  <c r="F89" i="22"/>
  <c r="G88" i="22"/>
  <c r="F88" i="22"/>
  <c r="G87" i="22"/>
  <c r="F87" i="22"/>
  <c r="G86" i="22"/>
  <c r="F86" i="22"/>
  <c r="G85" i="22"/>
  <c r="F85" i="22"/>
  <c r="G84" i="22"/>
  <c r="F84" i="22"/>
  <c r="G83" i="22"/>
  <c r="F83" i="22"/>
  <c r="G82" i="22"/>
  <c r="F82" i="22"/>
  <c r="G81" i="22"/>
  <c r="F81" i="22"/>
  <c r="G80" i="22"/>
  <c r="F80" i="22"/>
  <c r="G79" i="22"/>
  <c r="F79" i="22"/>
  <c r="G78" i="22"/>
  <c r="F78" i="22"/>
  <c r="G77" i="22"/>
  <c r="F77" i="22"/>
  <c r="G76" i="22"/>
  <c r="F76" i="22"/>
  <c r="G75" i="22"/>
  <c r="F75" i="22"/>
  <c r="G74" i="22"/>
  <c r="F74" i="22"/>
  <c r="G73" i="22"/>
  <c r="F73" i="22"/>
  <c r="G72" i="22"/>
  <c r="F72" i="22"/>
  <c r="G71" i="22"/>
  <c r="F71" i="22"/>
  <c r="G70" i="22"/>
  <c r="F70" i="22"/>
  <c r="G69" i="22"/>
  <c r="F69" i="22"/>
  <c r="G68" i="22"/>
  <c r="F68" i="22"/>
  <c r="G67" i="22"/>
  <c r="F67" i="22"/>
  <c r="G66" i="22"/>
  <c r="F66" i="22"/>
  <c r="F65" i="22"/>
  <c r="G64" i="22"/>
  <c r="F64" i="22"/>
  <c r="G63" i="22"/>
  <c r="F63" i="22"/>
  <c r="G62" i="22"/>
  <c r="F62" i="22"/>
  <c r="G61" i="22"/>
  <c r="F61" i="22"/>
  <c r="G60" i="22"/>
  <c r="F60" i="22"/>
  <c r="G59" i="22"/>
  <c r="F59" i="22"/>
  <c r="G58" i="22"/>
  <c r="F58" i="22"/>
  <c r="G57" i="22"/>
  <c r="F57" i="22"/>
  <c r="G56" i="22"/>
  <c r="F56" i="22"/>
  <c r="G55" i="22"/>
  <c r="F55" i="22"/>
  <c r="G54" i="22"/>
  <c r="F54" i="22"/>
  <c r="G53" i="22"/>
  <c r="F53" i="22"/>
  <c r="G52" i="22"/>
  <c r="F52" i="22"/>
  <c r="G51" i="22"/>
  <c r="F51" i="22"/>
  <c r="G50" i="22"/>
  <c r="F50" i="22"/>
  <c r="G49" i="22"/>
  <c r="F49" i="22"/>
  <c r="G48" i="22"/>
  <c r="F48" i="22"/>
  <c r="G47" i="22"/>
  <c r="F47" i="22"/>
  <c r="G46" i="22"/>
  <c r="F46" i="22"/>
  <c r="G45" i="22"/>
  <c r="F45" i="22"/>
  <c r="G44" i="22"/>
  <c r="F44" i="22"/>
  <c r="G43" i="22"/>
  <c r="F43" i="22"/>
  <c r="G42" i="22"/>
  <c r="F42" i="22"/>
  <c r="G41" i="22"/>
  <c r="F41" i="22"/>
  <c r="G40" i="22"/>
  <c r="F40" i="22"/>
  <c r="G39" i="22"/>
  <c r="F39" i="22"/>
  <c r="G38" i="22"/>
  <c r="F38" i="22"/>
  <c r="G37" i="22"/>
  <c r="F37" i="22"/>
  <c r="G36" i="22"/>
  <c r="F36" i="22"/>
  <c r="G35" i="22"/>
  <c r="F35" i="22"/>
  <c r="G34" i="22"/>
  <c r="F34" i="22"/>
  <c r="G33" i="22"/>
  <c r="F33" i="22"/>
  <c r="G32" i="22"/>
  <c r="F32" i="22"/>
  <c r="G31" i="22"/>
  <c r="F31" i="22"/>
  <c r="G30" i="22"/>
  <c r="F30" i="22"/>
  <c r="G29" i="22"/>
  <c r="F29" i="22"/>
  <c r="G28" i="22"/>
  <c r="F28" i="22"/>
  <c r="G27" i="22"/>
  <c r="F27" i="22"/>
  <c r="G26" i="22"/>
  <c r="F26" i="22"/>
  <c r="G25" i="22"/>
  <c r="F25" i="22"/>
  <c r="G24" i="22"/>
  <c r="F24" i="22"/>
  <c r="G23" i="22"/>
  <c r="F23" i="22"/>
  <c r="G22" i="22"/>
  <c r="F22" i="22"/>
  <c r="G21" i="22"/>
  <c r="F21" i="22"/>
  <c r="G20" i="22"/>
  <c r="F20" i="22"/>
  <c r="G19" i="22"/>
  <c r="F19" i="22"/>
  <c r="G18" i="22"/>
  <c r="F18" i="22"/>
  <c r="G17" i="22"/>
  <c r="F17" i="22"/>
  <c r="G16" i="22"/>
  <c r="F16" i="22"/>
  <c r="G15" i="22"/>
  <c r="F15" i="22"/>
  <c r="G14" i="22"/>
  <c r="F14" i="22"/>
  <c r="G13" i="22"/>
  <c r="F13" i="22"/>
  <c r="G12" i="22"/>
  <c r="F12" i="22"/>
  <c r="G11" i="22"/>
  <c r="F11" i="22"/>
  <c r="G10" i="22"/>
  <c r="F10" i="22"/>
  <c r="G9" i="22"/>
  <c r="F9" i="22"/>
  <c r="G8" i="22"/>
  <c r="F8" i="22"/>
  <c r="G7" i="22"/>
  <c r="F7" i="22"/>
  <c r="G6" i="22"/>
  <c r="F6" i="22"/>
  <c r="G5" i="22"/>
  <c r="F5" i="22"/>
  <c r="G4" i="22"/>
  <c r="F4" i="22"/>
  <c r="G3" i="22"/>
  <c r="F3" i="22"/>
  <c r="G2" i="22"/>
  <c r="F2" i="22"/>
  <c r="G6" i="2"/>
  <c r="H6" i="2"/>
  <c r="G7" i="2"/>
  <c r="H7" i="2"/>
  <c r="G9" i="2"/>
  <c r="H9" i="2"/>
  <c r="G10" i="2"/>
  <c r="H10" i="2"/>
  <c r="I10" i="2"/>
  <c r="G11" i="2"/>
  <c r="H11" i="2"/>
  <c r="G12" i="2"/>
  <c r="H12" i="2"/>
  <c r="G13" i="2"/>
  <c r="H13" i="2"/>
  <c r="G14" i="2"/>
  <c r="H14" i="2"/>
  <c r="G15" i="2"/>
  <c r="H15" i="2"/>
  <c r="I15" i="2"/>
  <c r="G4" i="2"/>
  <c r="H4" i="2"/>
  <c r="G101" i="21"/>
  <c r="F101" i="21"/>
  <c r="G100" i="21"/>
  <c r="F100" i="21"/>
  <c r="G99" i="21"/>
  <c r="F99" i="21"/>
  <c r="G98" i="21"/>
  <c r="F98" i="21"/>
  <c r="G97" i="21"/>
  <c r="F97" i="21"/>
  <c r="G96" i="21"/>
  <c r="F96" i="21"/>
  <c r="G95" i="21"/>
  <c r="F95" i="21"/>
  <c r="G94" i="21"/>
  <c r="F94" i="21"/>
  <c r="G93" i="21"/>
  <c r="F93" i="21"/>
  <c r="G92" i="21"/>
  <c r="F92" i="21"/>
  <c r="G91" i="21"/>
  <c r="F91" i="21"/>
  <c r="G90" i="21"/>
  <c r="F90" i="21"/>
  <c r="G89" i="21"/>
  <c r="F89" i="21"/>
  <c r="G88" i="21"/>
  <c r="F88" i="21"/>
  <c r="G87" i="21"/>
  <c r="F87" i="21"/>
  <c r="G86" i="21"/>
  <c r="F86" i="21"/>
  <c r="G85" i="21"/>
  <c r="F85" i="21"/>
  <c r="G84" i="21"/>
  <c r="F84" i="21"/>
  <c r="G83" i="21"/>
  <c r="F83" i="21"/>
  <c r="G82" i="21"/>
  <c r="F82" i="21"/>
  <c r="G81" i="21"/>
  <c r="F81" i="21"/>
  <c r="G80" i="21"/>
  <c r="F80" i="21"/>
  <c r="G79" i="21"/>
  <c r="F79" i="21"/>
  <c r="G78" i="21"/>
  <c r="F78" i="21"/>
  <c r="G77" i="21"/>
  <c r="F77" i="21"/>
  <c r="G76" i="21"/>
  <c r="F76" i="21"/>
  <c r="G75" i="21"/>
  <c r="F75" i="21"/>
  <c r="G74" i="21"/>
  <c r="F74" i="21"/>
  <c r="G73" i="21"/>
  <c r="F73" i="21"/>
  <c r="G72" i="21"/>
  <c r="F72" i="21"/>
  <c r="G71" i="21"/>
  <c r="F71" i="21"/>
  <c r="G70" i="21"/>
  <c r="F70" i="21"/>
  <c r="G69" i="21"/>
  <c r="F69" i="21"/>
  <c r="G68" i="21"/>
  <c r="F68" i="21"/>
  <c r="G67" i="21"/>
  <c r="F67" i="21"/>
  <c r="G66" i="21"/>
  <c r="F66" i="21"/>
  <c r="G65" i="21"/>
  <c r="F65" i="21"/>
  <c r="G64" i="21"/>
  <c r="F64" i="21"/>
  <c r="G63" i="21"/>
  <c r="F63" i="21"/>
  <c r="G62" i="21"/>
  <c r="F62" i="21"/>
  <c r="G61" i="21"/>
  <c r="F61" i="21"/>
  <c r="G60" i="21"/>
  <c r="F60" i="21"/>
  <c r="G59" i="21"/>
  <c r="F59" i="21"/>
  <c r="G58" i="21"/>
  <c r="F58" i="21"/>
  <c r="G57" i="21"/>
  <c r="F57" i="21"/>
  <c r="G56" i="21"/>
  <c r="F56" i="21"/>
  <c r="G55" i="21"/>
  <c r="F55" i="21"/>
  <c r="G54" i="21"/>
  <c r="F54" i="21"/>
  <c r="G53" i="21"/>
  <c r="F53" i="21"/>
  <c r="G52" i="21"/>
  <c r="F52" i="21"/>
  <c r="G51" i="21"/>
  <c r="F51" i="21"/>
  <c r="G50" i="21"/>
  <c r="F50" i="21"/>
  <c r="G49" i="21"/>
  <c r="F49" i="21"/>
  <c r="G48" i="21"/>
  <c r="F48" i="21"/>
  <c r="G47" i="21"/>
  <c r="F47" i="21"/>
  <c r="G46" i="21"/>
  <c r="F46" i="21"/>
  <c r="G45" i="21"/>
  <c r="F45" i="21"/>
  <c r="G44" i="21"/>
  <c r="F44" i="21"/>
  <c r="G43" i="21"/>
  <c r="F43" i="21"/>
  <c r="G42" i="21"/>
  <c r="F42" i="21"/>
  <c r="G41" i="21"/>
  <c r="F41" i="21"/>
  <c r="G40" i="21"/>
  <c r="F40" i="21"/>
  <c r="G39" i="21"/>
  <c r="F39" i="21"/>
  <c r="G38" i="21"/>
  <c r="F38" i="21"/>
  <c r="G37" i="21"/>
  <c r="F37" i="21"/>
  <c r="G36" i="21"/>
  <c r="F36" i="21"/>
  <c r="G35" i="21"/>
  <c r="F35" i="21"/>
  <c r="G34" i="21"/>
  <c r="F34" i="21"/>
  <c r="G33" i="21"/>
  <c r="F33" i="21"/>
  <c r="G32" i="21"/>
  <c r="F32" i="21"/>
  <c r="G31" i="21"/>
  <c r="F31" i="21"/>
  <c r="G30" i="21"/>
  <c r="F30" i="21"/>
  <c r="G29" i="21"/>
  <c r="F29" i="21"/>
  <c r="G28" i="21"/>
  <c r="F28" i="21"/>
  <c r="G27" i="21"/>
  <c r="F27" i="21"/>
  <c r="G26" i="21"/>
  <c r="F26" i="21"/>
  <c r="G25" i="21"/>
  <c r="F25" i="21"/>
  <c r="G24" i="21"/>
  <c r="F24" i="21"/>
  <c r="G23" i="21"/>
  <c r="F23" i="21"/>
  <c r="G22" i="21"/>
  <c r="F22" i="21"/>
  <c r="G21" i="21"/>
  <c r="F21" i="21"/>
  <c r="G20" i="21"/>
  <c r="F20" i="21"/>
  <c r="G19" i="21"/>
  <c r="F19" i="21"/>
  <c r="G18" i="21"/>
  <c r="F18" i="21"/>
  <c r="G17" i="21"/>
  <c r="F17" i="21"/>
  <c r="G16" i="21"/>
  <c r="F16" i="21"/>
  <c r="G15" i="21"/>
  <c r="F15" i="21"/>
  <c r="G14" i="21"/>
  <c r="F14" i="21"/>
  <c r="G13" i="21"/>
  <c r="F13" i="21"/>
  <c r="G12" i="21"/>
  <c r="F12" i="21"/>
  <c r="G11" i="21"/>
  <c r="F11" i="21"/>
  <c r="G10" i="21"/>
  <c r="F10" i="21"/>
  <c r="G9" i="21"/>
  <c r="F9" i="21"/>
  <c r="G8" i="21"/>
  <c r="F8" i="21"/>
  <c r="G7" i="21"/>
  <c r="F7" i="21"/>
  <c r="G6" i="21"/>
  <c r="F6" i="21"/>
  <c r="G5" i="21"/>
  <c r="F5" i="21"/>
  <c r="G4" i="21"/>
  <c r="F4" i="21"/>
  <c r="G3" i="21"/>
  <c r="F3" i="21"/>
  <c r="G2" i="21"/>
  <c r="F2" i="21"/>
  <c r="G101" i="20"/>
  <c r="F101" i="20"/>
  <c r="G100" i="20"/>
  <c r="F100" i="20"/>
  <c r="G99" i="20"/>
  <c r="F99" i="20"/>
  <c r="G98" i="20"/>
  <c r="F98" i="20"/>
  <c r="G97" i="20"/>
  <c r="F97" i="20"/>
  <c r="G96" i="20"/>
  <c r="F96" i="20"/>
  <c r="G95" i="20"/>
  <c r="F95" i="20"/>
  <c r="G94" i="20"/>
  <c r="F94" i="20"/>
  <c r="G93" i="20"/>
  <c r="F93" i="20"/>
  <c r="G92" i="20"/>
  <c r="F92" i="20"/>
  <c r="G91" i="20"/>
  <c r="F91" i="20"/>
  <c r="G90" i="20"/>
  <c r="F90" i="20"/>
  <c r="G89" i="20"/>
  <c r="F89" i="20"/>
  <c r="G88" i="20"/>
  <c r="F88" i="20"/>
  <c r="G87" i="20"/>
  <c r="F87" i="20"/>
  <c r="G86" i="20"/>
  <c r="F86" i="20"/>
  <c r="G85" i="20"/>
  <c r="F85" i="20"/>
  <c r="G84" i="20"/>
  <c r="F84" i="20"/>
  <c r="G83" i="20"/>
  <c r="F83" i="20"/>
  <c r="G82" i="20"/>
  <c r="F82" i="20"/>
  <c r="G81" i="20"/>
  <c r="F81" i="20"/>
  <c r="G80" i="20"/>
  <c r="F80" i="20"/>
  <c r="G79" i="20"/>
  <c r="F79" i="20"/>
  <c r="G78" i="20"/>
  <c r="F78" i="20"/>
  <c r="G77" i="20"/>
  <c r="F77" i="20"/>
  <c r="G76" i="20"/>
  <c r="F76" i="20"/>
  <c r="G75" i="20"/>
  <c r="F75" i="20"/>
  <c r="G74" i="20"/>
  <c r="F74" i="20"/>
  <c r="G73" i="20"/>
  <c r="F73" i="20"/>
  <c r="G72" i="20"/>
  <c r="F72" i="20"/>
  <c r="G71" i="20"/>
  <c r="F71" i="20"/>
  <c r="G70" i="20"/>
  <c r="F70" i="20"/>
  <c r="G69" i="20"/>
  <c r="F69" i="20"/>
  <c r="G68" i="20"/>
  <c r="F68" i="20"/>
  <c r="G67" i="20"/>
  <c r="F67" i="20"/>
  <c r="G66" i="20"/>
  <c r="F66" i="20"/>
  <c r="G65" i="20"/>
  <c r="F65" i="20"/>
  <c r="G64" i="20"/>
  <c r="F64" i="20"/>
  <c r="G63" i="20"/>
  <c r="F63" i="20"/>
  <c r="G62" i="20"/>
  <c r="F62" i="20"/>
  <c r="G61" i="20"/>
  <c r="F61" i="20"/>
  <c r="G60" i="20"/>
  <c r="F60" i="20"/>
  <c r="G59" i="20"/>
  <c r="F59" i="20"/>
  <c r="G58" i="20"/>
  <c r="F58" i="20"/>
  <c r="G57" i="20"/>
  <c r="F57" i="20"/>
  <c r="G56" i="20"/>
  <c r="F56" i="20"/>
  <c r="G55" i="20"/>
  <c r="F55" i="20"/>
  <c r="G54" i="20"/>
  <c r="F54" i="20"/>
  <c r="G53" i="20"/>
  <c r="F53" i="20"/>
  <c r="G52" i="20"/>
  <c r="F52" i="20"/>
  <c r="G51" i="20"/>
  <c r="F51" i="20"/>
  <c r="G50" i="20"/>
  <c r="F50" i="20"/>
  <c r="G49" i="20"/>
  <c r="F49" i="20"/>
  <c r="G48" i="20"/>
  <c r="F48" i="20"/>
  <c r="G47" i="20"/>
  <c r="F47" i="20"/>
  <c r="G46" i="20"/>
  <c r="F46" i="20"/>
  <c r="G45" i="20"/>
  <c r="F45" i="20"/>
  <c r="G44" i="20"/>
  <c r="F44" i="20"/>
  <c r="G43" i="20"/>
  <c r="F43" i="20"/>
  <c r="G42" i="20"/>
  <c r="F42" i="20"/>
  <c r="G41" i="20"/>
  <c r="F41" i="20"/>
  <c r="G40" i="20"/>
  <c r="F40" i="20"/>
  <c r="G39" i="20"/>
  <c r="F39" i="20"/>
  <c r="G38" i="20"/>
  <c r="F38" i="20"/>
  <c r="G37" i="20"/>
  <c r="F37" i="20"/>
  <c r="G36" i="20"/>
  <c r="F36" i="20"/>
  <c r="G35" i="20"/>
  <c r="F35" i="20"/>
  <c r="G34" i="20"/>
  <c r="F34" i="20"/>
  <c r="G33" i="20"/>
  <c r="F33" i="20"/>
  <c r="G32" i="20"/>
  <c r="F32" i="20"/>
  <c r="G31" i="20"/>
  <c r="F31" i="20"/>
  <c r="G30" i="20"/>
  <c r="F30" i="20"/>
  <c r="G29" i="20"/>
  <c r="F29" i="20"/>
  <c r="G28" i="20"/>
  <c r="F28" i="20"/>
  <c r="G27" i="20"/>
  <c r="F27" i="20"/>
  <c r="G26" i="20"/>
  <c r="F26" i="20"/>
  <c r="G25" i="20"/>
  <c r="F25" i="20"/>
  <c r="G24" i="20"/>
  <c r="F24" i="20"/>
  <c r="G23" i="20"/>
  <c r="F23" i="20"/>
  <c r="G22" i="20"/>
  <c r="F22" i="20"/>
  <c r="G21" i="20"/>
  <c r="F21" i="20"/>
  <c r="G20" i="20"/>
  <c r="F20" i="20"/>
  <c r="G19" i="20"/>
  <c r="F19" i="20"/>
  <c r="G18" i="20"/>
  <c r="F18" i="20"/>
  <c r="G17" i="20"/>
  <c r="F17" i="20"/>
  <c r="G16" i="20"/>
  <c r="F16" i="20"/>
  <c r="G15" i="20"/>
  <c r="F15" i="20"/>
  <c r="G14" i="20"/>
  <c r="F14" i="20"/>
  <c r="G13" i="20"/>
  <c r="F13" i="20"/>
  <c r="G12" i="20"/>
  <c r="F12" i="20"/>
  <c r="G11" i="20"/>
  <c r="F11" i="20"/>
  <c r="G10" i="20"/>
  <c r="F10" i="20"/>
  <c r="G9" i="20"/>
  <c r="F9" i="20"/>
  <c r="G8" i="20"/>
  <c r="F8" i="20"/>
  <c r="G7" i="20"/>
  <c r="F7" i="20"/>
  <c r="G6" i="20"/>
  <c r="F6" i="20"/>
  <c r="G5" i="20"/>
  <c r="F5" i="20"/>
  <c r="G4" i="20"/>
  <c r="F4" i="20"/>
  <c r="G3" i="20"/>
  <c r="F3" i="20"/>
  <c r="G2" i="20"/>
  <c r="F2" i="20"/>
  <c r="G101" i="19"/>
  <c r="F101" i="19"/>
  <c r="G100" i="19"/>
  <c r="F100" i="19"/>
  <c r="G99" i="19"/>
  <c r="F99" i="19"/>
  <c r="G98" i="19"/>
  <c r="F98" i="19"/>
  <c r="G97" i="19"/>
  <c r="F97" i="19"/>
  <c r="G96" i="19"/>
  <c r="F96" i="19"/>
  <c r="G95" i="19"/>
  <c r="F95" i="19"/>
  <c r="G94" i="19"/>
  <c r="F94" i="19"/>
  <c r="G93" i="19"/>
  <c r="F93" i="19"/>
  <c r="G92" i="19"/>
  <c r="F92" i="19"/>
  <c r="G91" i="19"/>
  <c r="F91" i="19"/>
  <c r="G90" i="19"/>
  <c r="F90" i="19"/>
  <c r="G89" i="19"/>
  <c r="F89" i="19"/>
  <c r="G88" i="19"/>
  <c r="F88" i="19"/>
  <c r="G87" i="19"/>
  <c r="F87" i="19"/>
  <c r="G86" i="19"/>
  <c r="F86" i="19"/>
  <c r="G85" i="19"/>
  <c r="F85" i="19"/>
  <c r="G84" i="19"/>
  <c r="F84" i="19"/>
  <c r="G83" i="19"/>
  <c r="F83" i="19"/>
  <c r="G82" i="19"/>
  <c r="F82" i="19"/>
  <c r="G81" i="19"/>
  <c r="F81" i="19"/>
  <c r="G80" i="19"/>
  <c r="F80" i="19"/>
  <c r="G79" i="19"/>
  <c r="F79" i="19"/>
  <c r="G78" i="19"/>
  <c r="F78" i="19"/>
  <c r="G77" i="19"/>
  <c r="F77" i="19"/>
  <c r="G76" i="19"/>
  <c r="F76" i="19"/>
  <c r="G75" i="19"/>
  <c r="F75" i="19"/>
  <c r="G74" i="19"/>
  <c r="F74" i="19"/>
  <c r="G73" i="19"/>
  <c r="F73" i="19"/>
  <c r="G72" i="19"/>
  <c r="F72" i="19"/>
  <c r="G71" i="19"/>
  <c r="F71" i="19"/>
  <c r="G70" i="19"/>
  <c r="F70" i="19"/>
  <c r="G69" i="19"/>
  <c r="F69" i="19"/>
  <c r="G68" i="19"/>
  <c r="F68" i="19"/>
  <c r="G67" i="19"/>
  <c r="F67" i="19"/>
  <c r="G66" i="19"/>
  <c r="F66" i="19"/>
  <c r="G65" i="19"/>
  <c r="F65" i="19"/>
  <c r="G64" i="19"/>
  <c r="F64" i="19"/>
  <c r="G63" i="19"/>
  <c r="F63" i="19"/>
  <c r="G62" i="19"/>
  <c r="F62" i="19"/>
  <c r="G61" i="19"/>
  <c r="F61" i="19"/>
  <c r="G60" i="19"/>
  <c r="F60" i="19"/>
  <c r="G59" i="19"/>
  <c r="F59" i="19"/>
  <c r="G58" i="19"/>
  <c r="F58" i="19"/>
  <c r="G57" i="19"/>
  <c r="F57" i="19"/>
  <c r="G56" i="19"/>
  <c r="F56" i="19"/>
  <c r="G55" i="19"/>
  <c r="F55" i="19"/>
  <c r="G54" i="19"/>
  <c r="F54" i="19"/>
  <c r="G53" i="19"/>
  <c r="F53" i="19"/>
  <c r="G52" i="19"/>
  <c r="F52" i="19"/>
  <c r="G51" i="19"/>
  <c r="F51" i="19"/>
  <c r="G50" i="19"/>
  <c r="F50" i="19"/>
  <c r="G49" i="19"/>
  <c r="F49" i="19"/>
  <c r="G48" i="19"/>
  <c r="F48" i="19"/>
  <c r="G47" i="19"/>
  <c r="F47" i="19"/>
  <c r="G46" i="19"/>
  <c r="F46" i="19"/>
  <c r="G45" i="19"/>
  <c r="F45" i="19"/>
  <c r="G44" i="19"/>
  <c r="F44" i="19"/>
  <c r="G43" i="19"/>
  <c r="F43" i="19"/>
  <c r="G42" i="19"/>
  <c r="F42" i="19"/>
  <c r="G41" i="19"/>
  <c r="F41" i="19"/>
  <c r="G40" i="19"/>
  <c r="F40" i="19"/>
  <c r="G39" i="19"/>
  <c r="F39" i="19"/>
  <c r="G38" i="19"/>
  <c r="F38" i="19"/>
  <c r="G37" i="19"/>
  <c r="F37" i="19"/>
  <c r="G36" i="19"/>
  <c r="F36" i="19"/>
  <c r="G35" i="19"/>
  <c r="F35" i="19"/>
  <c r="G34" i="19"/>
  <c r="F34" i="19"/>
  <c r="G33" i="19"/>
  <c r="F33" i="19"/>
  <c r="G32" i="19"/>
  <c r="F32" i="19"/>
  <c r="G31" i="19"/>
  <c r="F31" i="19"/>
  <c r="G30" i="19"/>
  <c r="F30" i="19"/>
  <c r="G29" i="19"/>
  <c r="F29" i="19"/>
  <c r="G28" i="19"/>
  <c r="F28" i="19"/>
  <c r="G27" i="19"/>
  <c r="F27" i="19"/>
  <c r="G26" i="19"/>
  <c r="F26" i="19"/>
  <c r="G25" i="19"/>
  <c r="F25" i="19"/>
  <c r="G24" i="19"/>
  <c r="F24" i="19"/>
  <c r="G23" i="19"/>
  <c r="F23" i="19"/>
  <c r="G22" i="19"/>
  <c r="F22" i="19"/>
  <c r="G21" i="19"/>
  <c r="F21" i="19"/>
  <c r="G20" i="19"/>
  <c r="F20" i="19"/>
  <c r="G19" i="19"/>
  <c r="F19" i="19"/>
  <c r="G18" i="19"/>
  <c r="F18" i="19"/>
  <c r="G17" i="19"/>
  <c r="F17" i="19"/>
  <c r="G16" i="19"/>
  <c r="F16" i="19"/>
  <c r="G15" i="19"/>
  <c r="F15" i="19"/>
  <c r="G14" i="19"/>
  <c r="F14" i="19"/>
  <c r="G13" i="19"/>
  <c r="F13" i="19"/>
  <c r="G12" i="19"/>
  <c r="F12" i="19"/>
  <c r="G11" i="19"/>
  <c r="F11" i="19"/>
  <c r="G10" i="19"/>
  <c r="F10" i="19"/>
  <c r="G9" i="19"/>
  <c r="F9" i="19"/>
  <c r="G8" i="19"/>
  <c r="F8" i="19"/>
  <c r="G7" i="19"/>
  <c r="F7" i="19"/>
  <c r="G6" i="19"/>
  <c r="F6" i="19"/>
  <c r="G5" i="19"/>
  <c r="F5" i="19"/>
  <c r="G4" i="19"/>
  <c r="F4" i="19"/>
  <c r="G3" i="19"/>
  <c r="F3" i="19"/>
  <c r="G2" i="19"/>
  <c r="F2" i="19"/>
  <c r="G18" i="2"/>
  <c r="H18" i="2"/>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4" i="1"/>
  <c r="F4" i="1"/>
  <c r="G3" i="1"/>
  <c r="F3" i="1"/>
  <c r="G2" i="1"/>
  <c r="F2" i="1"/>
  <c r="F3" i="6"/>
  <c r="G3" i="6"/>
  <c r="F4" i="6"/>
  <c r="G4" i="6"/>
  <c r="F5" i="6"/>
  <c r="G5" i="6"/>
  <c r="F6" i="6"/>
  <c r="G6" i="6"/>
  <c r="F7" i="6"/>
  <c r="G7" i="6"/>
  <c r="F8" i="6"/>
  <c r="G8" i="6"/>
  <c r="F9" i="6"/>
  <c r="G9" i="6"/>
  <c r="F10" i="6"/>
  <c r="G10" i="6"/>
  <c r="F11" i="6"/>
  <c r="F12" i="6"/>
  <c r="G12" i="6"/>
  <c r="F13" i="6"/>
  <c r="G13" i="6"/>
  <c r="F14" i="6"/>
  <c r="G14" i="6"/>
  <c r="F15" i="6"/>
  <c r="G15" i="6"/>
  <c r="F16" i="6"/>
  <c r="G16" i="6"/>
  <c r="F17" i="6"/>
  <c r="G17" i="6"/>
  <c r="F18" i="6"/>
  <c r="G18" i="6"/>
  <c r="F19" i="6"/>
  <c r="G19" i="6"/>
  <c r="F20" i="6"/>
  <c r="G20" i="6"/>
  <c r="F21" i="6"/>
  <c r="G21" i="6"/>
  <c r="F22" i="6"/>
  <c r="G22" i="6"/>
  <c r="F23" i="6"/>
  <c r="G23" i="6"/>
  <c r="F24" i="6"/>
  <c r="G24" i="6"/>
  <c r="F25" i="6"/>
  <c r="G25" i="6"/>
  <c r="F26" i="6"/>
  <c r="G26" i="6"/>
  <c r="F27" i="6"/>
  <c r="G27" i="6"/>
  <c r="F28" i="6"/>
  <c r="G28" i="6"/>
  <c r="F29" i="6"/>
  <c r="G29" i="6"/>
  <c r="F30" i="6"/>
  <c r="G30" i="6"/>
  <c r="F31" i="6"/>
  <c r="G31" i="6"/>
  <c r="F32" i="6"/>
  <c r="G32" i="6"/>
  <c r="F33" i="6"/>
  <c r="G33" i="6"/>
  <c r="F34" i="6"/>
  <c r="G34" i="6"/>
  <c r="F35" i="6"/>
  <c r="G35" i="6"/>
  <c r="F36" i="6"/>
  <c r="G36" i="6"/>
  <c r="F37" i="6"/>
  <c r="G37" i="6"/>
  <c r="F38" i="6"/>
  <c r="G38" i="6"/>
  <c r="F39" i="6"/>
  <c r="G39" i="6"/>
  <c r="F40" i="6"/>
  <c r="G40" i="6"/>
  <c r="F41" i="6"/>
  <c r="G41" i="6"/>
  <c r="F42" i="6"/>
  <c r="G42" i="6"/>
  <c r="F43" i="6"/>
  <c r="G43" i="6"/>
  <c r="F44" i="6"/>
  <c r="G44" i="6"/>
  <c r="F45" i="6"/>
  <c r="G45" i="6"/>
  <c r="F46" i="6"/>
  <c r="G46" i="6"/>
  <c r="F47" i="6"/>
  <c r="G47" i="6"/>
  <c r="F48" i="6"/>
  <c r="G48" i="6"/>
  <c r="F49" i="6"/>
  <c r="G49" i="6"/>
  <c r="F50" i="6"/>
  <c r="G50" i="6"/>
  <c r="F51" i="6"/>
  <c r="G51" i="6"/>
  <c r="F52" i="6"/>
  <c r="G52" i="6"/>
  <c r="F53" i="6"/>
  <c r="G53" i="6"/>
  <c r="F54" i="6"/>
  <c r="G54" i="6"/>
  <c r="F55" i="6"/>
  <c r="G55" i="6"/>
  <c r="F56" i="6"/>
  <c r="G56" i="6"/>
  <c r="F57" i="6"/>
  <c r="G57" i="6"/>
  <c r="F58" i="6"/>
  <c r="G58" i="6"/>
  <c r="F59" i="6"/>
  <c r="G59" i="6"/>
  <c r="F60" i="6"/>
  <c r="G60" i="6"/>
  <c r="F61" i="6"/>
  <c r="G61" i="6"/>
  <c r="F62" i="6"/>
  <c r="G62" i="6"/>
  <c r="F63" i="6"/>
  <c r="G63" i="6"/>
  <c r="F64" i="6"/>
  <c r="G64" i="6"/>
  <c r="F65" i="6"/>
  <c r="G65" i="6"/>
  <c r="F66" i="6"/>
  <c r="G66" i="6"/>
  <c r="F67" i="6"/>
  <c r="G67" i="6"/>
  <c r="F68" i="6"/>
  <c r="G68" i="6"/>
  <c r="F69" i="6"/>
  <c r="G69" i="6"/>
  <c r="F70" i="6"/>
  <c r="G70" i="6"/>
  <c r="F71" i="6"/>
  <c r="G71" i="6"/>
  <c r="F72" i="6"/>
  <c r="G72" i="6"/>
  <c r="F73" i="6"/>
  <c r="G73" i="6"/>
  <c r="F74" i="6"/>
  <c r="G74" i="6"/>
  <c r="F75" i="6"/>
  <c r="G75" i="6"/>
  <c r="F76" i="6"/>
  <c r="G76" i="6"/>
  <c r="F77" i="6"/>
  <c r="G77" i="6"/>
  <c r="F78" i="6"/>
  <c r="G78" i="6"/>
  <c r="F79" i="6"/>
  <c r="G79" i="6"/>
  <c r="F80" i="6"/>
  <c r="G80" i="6"/>
  <c r="F81" i="6"/>
  <c r="G81" i="6"/>
  <c r="F82" i="6"/>
  <c r="G82" i="6"/>
  <c r="F83" i="6"/>
  <c r="G83" i="6"/>
  <c r="F84" i="6"/>
  <c r="G84" i="6"/>
  <c r="F85" i="6"/>
  <c r="G85" i="6"/>
  <c r="F86" i="6"/>
  <c r="G86" i="6"/>
  <c r="F87" i="6"/>
  <c r="G87" i="6"/>
  <c r="F88" i="6"/>
  <c r="G88" i="6"/>
  <c r="F89" i="6"/>
  <c r="G89" i="6"/>
  <c r="F90" i="6"/>
  <c r="G90" i="6"/>
  <c r="F91" i="6"/>
  <c r="G91" i="6"/>
  <c r="F92" i="6"/>
  <c r="G92" i="6"/>
  <c r="F93" i="6"/>
  <c r="G93" i="6"/>
  <c r="F94" i="6"/>
  <c r="G94" i="6"/>
  <c r="F95" i="6"/>
  <c r="G95" i="6"/>
  <c r="F96" i="6"/>
  <c r="G96" i="6"/>
  <c r="F97" i="6"/>
  <c r="G97" i="6"/>
  <c r="F98" i="6"/>
  <c r="G98" i="6"/>
  <c r="F99" i="6"/>
  <c r="G99" i="6"/>
  <c r="F100" i="6"/>
  <c r="G100" i="6"/>
  <c r="F101" i="6"/>
  <c r="G101" i="6"/>
  <c r="F3" i="5"/>
  <c r="G3" i="5"/>
  <c r="F4" i="5"/>
  <c r="G4" i="5"/>
  <c r="F5" i="5"/>
  <c r="G5" i="5"/>
  <c r="F6" i="5"/>
  <c r="G6" i="5"/>
  <c r="F7" i="5"/>
  <c r="G7" i="5"/>
  <c r="F8" i="5"/>
  <c r="G8" i="5"/>
  <c r="F9" i="5"/>
  <c r="G9" i="5"/>
  <c r="F10" i="5"/>
  <c r="G10" i="5"/>
  <c r="F11" i="5"/>
  <c r="G11" i="5"/>
  <c r="F12" i="5"/>
  <c r="G12" i="5"/>
  <c r="F13" i="5"/>
  <c r="G13" i="5"/>
  <c r="F14" i="5"/>
  <c r="G14" i="5"/>
  <c r="F15" i="5"/>
  <c r="G15" i="5"/>
  <c r="F16" i="5"/>
  <c r="G16" i="5"/>
  <c r="F17" i="5"/>
  <c r="G17" i="5"/>
  <c r="F18" i="5"/>
  <c r="G18" i="5"/>
  <c r="F19" i="5"/>
  <c r="G19" i="5"/>
  <c r="F20" i="5"/>
  <c r="G20" i="5"/>
  <c r="F21" i="5"/>
  <c r="G21" i="5"/>
  <c r="F22" i="5"/>
  <c r="G22" i="5"/>
  <c r="F23" i="5"/>
  <c r="G23" i="5"/>
  <c r="F24" i="5"/>
  <c r="G24" i="5"/>
  <c r="F25" i="5"/>
  <c r="G25" i="5"/>
  <c r="F26" i="5"/>
  <c r="G26" i="5"/>
  <c r="F27" i="5"/>
  <c r="G27" i="5"/>
  <c r="F28" i="5"/>
  <c r="G28" i="5"/>
  <c r="F29" i="5"/>
  <c r="G29" i="5"/>
  <c r="F30" i="5"/>
  <c r="G30" i="5"/>
  <c r="F31" i="5"/>
  <c r="G31" i="5"/>
  <c r="F32" i="5"/>
  <c r="G32" i="5"/>
  <c r="F33" i="5"/>
  <c r="G33" i="5"/>
  <c r="F34" i="5"/>
  <c r="G34" i="5"/>
  <c r="F35" i="5"/>
  <c r="G35" i="5"/>
  <c r="F36" i="5"/>
  <c r="G36" i="5"/>
  <c r="F37" i="5"/>
  <c r="G37" i="5"/>
  <c r="F38" i="5"/>
  <c r="G38" i="5"/>
  <c r="F39" i="5"/>
  <c r="G39" i="5"/>
  <c r="F40" i="5"/>
  <c r="G40" i="5"/>
  <c r="F41" i="5"/>
  <c r="G41" i="5"/>
  <c r="F42" i="5"/>
  <c r="G42" i="5"/>
  <c r="F43" i="5"/>
  <c r="G43" i="5"/>
  <c r="F44" i="5"/>
  <c r="G44" i="5"/>
  <c r="F45" i="5"/>
  <c r="G45" i="5"/>
  <c r="F46" i="5"/>
  <c r="G46" i="5"/>
  <c r="F47" i="5"/>
  <c r="G47" i="5"/>
  <c r="F48" i="5"/>
  <c r="G48" i="5"/>
  <c r="F49" i="5"/>
  <c r="G49" i="5"/>
  <c r="F50" i="5"/>
  <c r="G50" i="5"/>
  <c r="F51" i="5"/>
  <c r="G51" i="5"/>
  <c r="F52" i="5"/>
  <c r="G52" i="5"/>
  <c r="F53" i="5"/>
  <c r="G53" i="5"/>
  <c r="F54" i="5"/>
  <c r="G54" i="5"/>
  <c r="F55" i="5"/>
  <c r="G55" i="5"/>
  <c r="F56" i="5"/>
  <c r="G56" i="5"/>
  <c r="F57" i="5"/>
  <c r="G57" i="5"/>
  <c r="F58" i="5"/>
  <c r="G58" i="5"/>
  <c r="F59" i="5"/>
  <c r="G59" i="5"/>
  <c r="F60" i="5"/>
  <c r="G60" i="5"/>
  <c r="F61" i="5"/>
  <c r="G61" i="5"/>
  <c r="F62" i="5"/>
  <c r="G62" i="5"/>
  <c r="F63" i="5"/>
  <c r="G63" i="5"/>
  <c r="F64" i="5"/>
  <c r="G64" i="5"/>
  <c r="F65" i="5"/>
  <c r="G65" i="5"/>
  <c r="F66" i="5"/>
  <c r="G66" i="5"/>
  <c r="F67" i="5"/>
  <c r="G67" i="5"/>
  <c r="F68" i="5"/>
  <c r="G68" i="5"/>
  <c r="F69" i="5"/>
  <c r="G69" i="5"/>
  <c r="F70" i="5"/>
  <c r="G70" i="5"/>
  <c r="F71" i="5"/>
  <c r="G71" i="5"/>
  <c r="F72" i="5"/>
  <c r="G72" i="5"/>
  <c r="F73" i="5"/>
  <c r="G73" i="5"/>
  <c r="F74" i="5"/>
  <c r="G74" i="5"/>
  <c r="F75" i="5"/>
  <c r="G75" i="5"/>
  <c r="F76" i="5"/>
  <c r="G76" i="5"/>
  <c r="F77" i="5"/>
  <c r="G77" i="5"/>
  <c r="F78" i="5"/>
  <c r="G78" i="5"/>
  <c r="F79" i="5"/>
  <c r="G79" i="5"/>
  <c r="F80" i="5"/>
  <c r="G80" i="5"/>
  <c r="F81" i="5"/>
  <c r="G81" i="5"/>
  <c r="F82" i="5"/>
  <c r="G82" i="5"/>
  <c r="F83" i="5"/>
  <c r="G83" i="5"/>
  <c r="F84" i="5"/>
  <c r="G84" i="5"/>
  <c r="F85" i="5"/>
  <c r="G85" i="5"/>
  <c r="F86" i="5"/>
  <c r="G86" i="5"/>
  <c r="F87" i="5"/>
  <c r="G87" i="5"/>
  <c r="F88" i="5"/>
  <c r="G88" i="5"/>
  <c r="F89" i="5"/>
  <c r="G89" i="5"/>
  <c r="F90" i="5"/>
  <c r="G90" i="5"/>
  <c r="F91" i="5"/>
  <c r="G91" i="5"/>
  <c r="F92" i="5"/>
  <c r="G92" i="5"/>
  <c r="F93" i="5"/>
  <c r="G93" i="5"/>
  <c r="F94" i="5"/>
  <c r="G94" i="5"/>
  <c r="F95" i="5"/>
  <c r="G95" i="5"/>
  <c r="F96" i="5"/>
  <c r="G96" i="5"/>
  <c r="F97" i="5"/>
  <c r="G97" i="5"/>
  <c r="F98" i="5"/>
  <c r="G98" i="5"/>
  <c r="F99" i="5"/>
  <c r="G99" i="5"/>
  <c r="F100" i="5"/>
  <c r="G100" i="5"/>
  <c r="F101" i="5"/>
  <c r="G101" i="5"/>
  <c r="H3" i="12"/>
  <c r="H4" i="12"/>
  <c r="H5" i="12"/>
  <c r="H6" i="12"/>
  <c r="H7" i="12"/>
  <c r="H8" i="12"/>
  <c r="H9" i="12"/>
  <c r="H10" i="12"/>
  <c r="H11" i="12"/>
  <c r="H12" i="12"/>
  <c r="H13" i="12"/>
  <c r="H14" i="12"/>
  <c r="H15" i="12"/>
  <c r="H16" i="12"/>
  <c r="H17" i="12"/>
  <c r="H18" i="12"/>
  <c r="H19" i="12"/>
  <c r="H20" i="12"/>
  <c r="H21" i="12"/>
  <c r="H22"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7" i="12"/>
  <c r="H88" i="12"/>
  <c r="H89" i="12"/>
  <c r="H90" i="12"/>
  <c r="H91" i="12"/>
  <c r="H92" i="12"/>
  <c r="H93" i="12"/>
  <c r="H94" i="12"/>
  <c r="H95" i="12"/>
  <c r="H96" i="12"/>
  <c r="H97" i="12"/>
  <c r="H98" i="12"/>
  <c r="H99" i="12"/>
  <c r="H100" i="12"/>
  <c r="H101" i="12"/>
  <c r="G101" i="18"/>
  <c r="F101" i="18"/>
  <c r="G100" i="18"/>
  <c r="F100" i="18"/>
  <c r="G99" i="18"/>
  <c r="F99" i="18"/>
  <c r="G98" i="18"/>
  <c r="F98" i="18"/>
  <c r="G97" i="18"/>
  <c r="F97" i="18"/>
  <c r="G96" i="18"/>
  <c r="F96" i="18"/>
  <c r="G95" i="18"/>
  <c r="F95" i="18"/>
  <c r="G94" i="18"/>
  <c r="F94" i="18"/>
  <c r="G93" i="18"/>
  <c r="F93" i="18"/>
  <c r="G92" i="18"/>
  <c r="F92" i="18"/>
  <c r="G91" i="18"/>
  <c r="F91" i="18"/>
  <c r="G90" i="18"/>
  <c r="F90" i="18"/>
  <c r="G89" i="18"/>
  <c r="F89" i="18"/>
  <c r="G88" i="18"/>
  <c r="F88" i="18"/>
  <c r="G87" i="18"/>
  <c r="F87" i="18"/>
  <c r="G86" i="18"/>
  <c r="F86" i="18"/>
  <c r="G85" i="18"/>
  <c r="F85" i="18"/>
  <c r="G84" i="18"/>
  <c r="F84" i="18"/>
  <c r="G83" i="18"/>
  <c r="F83" i="18"/>
  <c r="G82" i="18"/>
  <c r="F82" i="18"/>
  <c r="G81" i="18"/>
  <c r="F81" i="18"/>
  <c r="G80" i="18"/>
  <c r="F80" i="18"/>
  <c r="G79" i="18"/>
  <c r="F79" i="18"/>
  <c r="G78" i="18"/>
  <c r="F78" i="18"/>
  <c r="G77" i="18"/>
  <c r="F77" i="18"/>
  <c r="G76" i="18"/>
  <c r="F76" i="18"/>
  <c r="G75" i="18"/>
  <c r="F75" i="18"/>
  <c r="G74" i="18"/>
  <c r="F74" i="18"/>
  <c r="G73" i="18"/>
  <c r="F73" i="18"/>
  <c r="G72" i="18"/>
  <c r="F72" i="18"/>
  <c r="G71" i="18"/>
  <c r="F71" i="18"/>
  <c r="G70" i="18"/>
  <c r="F70" i="18"/>
  <c r="G69" i="18"/>
  <c r="F69" i="18"/>
  <c r="G68" i="18"/>
  <c r="F68" i="18"/>
  <c r="G67" i="18"/>
  <c r="F67" i="18"/>
  <c r="G66" i="18"/>
  <c r="F66" i="18"/>
  <c r="G65" i="18"/>
  <c r="F65" i="18"/>
  <c r="G64" i="18"/>
  <c r="F64" i="18"/>
  <c r="G63" i="18"/>
  <c r="F63" i="18"/>
  <c r="G62" i="18"/>
  <c r="F62" i="18"/>
  <c r="G61" i="18"/>
  <c r="F61" i="18"/>
  <c r="G60" i="18"/>
  <c r="F60" i="18"/>
  <c r="G59" i="18"/>
  <c r="F59" i="18"/>
  <c r="G58" i="18"/>
  <c r="F58" i="18"/>
  <c r="G57" i="18"/>
  <c r="F57" i="18"/>
  <c r="G56" i="18"/>
  <c r="F56" i="18"/>
  <c r="G55" i="18"/>
  <c r="F55" i="18"/>
  <c r="G54" i="18"/>
  <c r="F54" i="18"/>
  <c r="G53" i="18"/>
  <c r="F53" i="18"/>
  <c r="G52" i="18"/>
  <c r="F52" i="18"/>
  <c r="G51" i="18"/>
  <c r="F51" i="18"/>
  <c r="G50" i="18"/>
  <c r="F50" i="18"/>
  <c r="G49" i="18"/>
  <c r="F49" i="18"/>
  <c r="G48" i="18"/>
  <c r="F48" i="18"/>
  <c r="G47" i="18"/>
  <c r="F47" i="18"/>
  <c r="G46" i="18"/>
  <c r="F46" i="18"/>
  <c r="G45" i="18"/>
  <c r="F45" i="18"/>
  <c r="G44" i="18"/>
  <c r="F44" i="18"/>
  <c r="G43" i="18"/>
  <c r="F43" i="18"/>
  <c r="G42" i="18"/>
  <c r="F42" i="18"/>
  <c r="G41" i="18"/>
  <c r="F41" i="18"/>
  <c r="G40" i="18"/>
  <c r="F40" i="18"/>
  <c r="G39" i="18"/>
  <c r="F39" i="18"/>
  <c r="G38" i="18"/>
  <c r="F38" i="18"/>
  <c r="G37" i="18"/>
  <c r="F37" i="18"/>
  <c r="G36" i="18"/>
  <c r="F36" i="18"/>
  <c r="G35" i="18"/>
  <c r="F35" i="18"/>
  <c r="G34" i="18"/>
  <c r="F34" i="18"/>
  <c r="G33" i="18"/>
  <c r="F33" i="18"/>
  <c r="G32" i="18"/>
  <c r="F32" i="18"/>
  <c r="G31" i="18"/>
  <c r="F31" i="18"/>
  <c r="G30" i="18"/>
  <c r="F30" i="18"/>
  <c r="G29" i="18"/>
  <c r="F29" i="18"/>
  <c r="G28" i="18"/>
  <c r="F28" i="18"/>
  <c r="G27" i="18"/>
  <c r="F27" i="18"/>
  <c r="G26" i="18"/>
  <c r="F26" i="18"/>
  <c r="G25" i="18"/>
  <c r="F25" i="18"/>
  <c r="G24" i="18"/>
  <c r="F24" i="18"/>
  <c r="G23" i="18"/>
  <c r="F23" i="18"/>
  <c r="G22" i="18"/>
  <c r="F22" i="18"/>
  <c r="G21" i="18"/>
  <c r="F21" i="18"/>
  <c r="G20" i="18"/>
  <c r="F20" i="18"/>
  <c r="G19" i="18"/>
  <c r="F19" i="18"/>
  <c r="G18" i="18"/>
  <c r="F18" i="18"/>
  <c r="G17" i="18"/>
  <c r="F17" i="18"/>
  <c r="G16" i="18"/>
  <c r="F16" i="18"/>
  <c r="G15" i="18"/>
  <c r="F15" i="18"/>
  <c r="G14" i="18"/>
  <c r="F14" i="18"/>
  <c r="G13" i="18"/>
  <c r="F13" i="18"/>
  <c r="G12" i="18"/>
  <c r="F12" i="18"/>
  <c r="G11" i="18"/>
  <c r="F11" i="18"/>
  <c r="G10" i="18"/>
  <c r="F10" i="18"/>
  <c r="G9" i="18"/>
  <c r="F9" i="18"/>
  <c r="G8" i="18"/>
  <c r="F8" i="18"/>
  <c r="G7" i="18"/>
  <c r="F7" i="18"/>
  <c r="G6" i="18"/>
  <c r="F6" i="18"/>
  <c r="G5" i="18"/>
  <c r="F5" i="18"/>
  <c r="G4" i="18"/>
  <c r="F4" i="18"/>
  <c r="G3" i="18"/>
  <c r="F3" i="18"/>
  <c r="G2" i="18"/>
  <c r="F2" i="18"/>
  <c r="G101" i="17"/>
  <c r="F101" i="17"/>
  <c r="G100" i="17"/>
  <c r="F100" i="17"/>
  <c r="G99" i="17"/>
  <c r="F99" i="17"/>
  <c r="G98" i="17"/>
  <c r="F98" i="17"/>
  <c r="G97" i="17"/>
  <c r="F97" i="17"/>
  <c r="G96" i="17"/>
  <c r="F96" i="17"/>
  <c r="G95" i="17"/>
  <c r="F95" i="17"/>
  <c r="G94" i="17"/>
  <c r="F94" i="17"/>
  <c r="G93" i="17"/>
  <c r="F93" i="17"/>
  <c r="G92" i="17"/>
  <c r="F92" i="17"/>
  <c r="G91" i="17"/>
  <c r="F91" i="17"/>
  <c r="G90" i="17"/>
  <c r="F90" i="17"/>
  <c r="G89" i="17"/>
  <c r="F89" i="17"/>
  <c r="G88" i="17"/>
  <c r="F88" i="17"/>
  <c r="G87" i="17"/>
  <c r="F87" i="17"/>
  <c r="G86" i="17"/>
  <c r="F86" i="17"/>
  <c r="G85" i="17"/>
  <c r="F85" i="17"/>
  <c r="G84" i="17"/>
  <c r="F84" i="17"/>
  <c r="G83" i="17"/>
  <c r="F83" i="17"/>
  <c r="G82" i="17"/>
  <c r="F82" i="17"/>
  <c r="G81" i="17"/>
  <c r="F81" i="17"/>
  <c r="G80" i="17"/>
  <c r="F80" i="17"/>
  <c r="G79" i="17"/>
  <c r="F79" i="17"/>
  <c r="G78" i="17"/>
  <c r="F78" i="17"/>
  <c r="G77" i="17"/>
  <c r="F77" i="17"/>
  <c r="G76" i="17"/>
  <c r="F76" i="17"/>
  <c r="G75" i="17"/>
  <c r="F75" i="17"/>
  <c r="G74" i="17"/>
  <c r="F74" i="17"/>
  <c r="G73" i="17"/>
  <c r="F73" i="17"/>
  <c r="G72" i="17"/>
  <c r="F72" i="17"/>
  <c r="G71" i="17"/>
  <c r="F71" i="17"/>
  <c r="G70" i="17"/>
  <c r="F70" i="17"/>
  <c r="G69" i="17"/>
  <c r="F69" i="17"/>
  <c r="G68" i="17"/>
  <c r="F68" i="17"/>
  <c r="G67" i="17"/>
  <c r="F67" i="17"/>
  <c r="G66" i="17"/>
  <c r="F66" i="17"/>
  <c r="G65" i="17"/>
  <c r="F65" i="17"/>
  <c r="G64" i="17"/>
  <c r="F64" i="17"/>
  <c r="G63" i="17"/>
  <c r="F63" i="17"/>
  <c r="G62" i="17"/>
  <c r="F62" i="17"/>
  <c r="G61" i="17"/>
  <c r="F61" i="17"/>
  <c r="G60" i="17"/>
  <c r="F60" i="17"/>
  <c r="G59" i="17"/>
  <c r="F59" i="17"/>
  <c r="G58" i="17"/>
  <c r="F58" i="17"/>
  <c r="G57" i="17"/>
  <c r="F57" i="17"/>
  <c r="G56" i="17"/>
  <c r="F56" i="17"/>
  <c r="G55" i="17"/>
  <c r="F55" i="17"/>
  <c r="G54" i="17"/>
  <c r="F54" i="17"/>
  <c r="G53" i="17"/>
  <c r="F53" i="17"/>
  <c r="G52" i="17"/>
  <c r="F52" i="17"/>
  <c r="G51" i="17"/>
  <c r="F51" i="17"/>
  <c r="G50" i="17"/>
  <c r="F50" i="17"/>
  <c r="G49" i="17"/>
  <c r="F49" i="17"/>
  <c r="G48" i="17"/>
  <c r="F48" i="17"/>
  <c r="G47" i="17"/>
  <c r="F47" i="17"/>
  <c r="G46" i="17"/>
  <c r="F46" i="17"/>
  <c r="G45" i="17"/>
  <c r="F45" i="17"/>
  <c r="G44" i="17"/>
  <c r="F44" i="17"/>
  <c r="G43" i="17"/>
  <c r="F43" i="17"/>
  <c r="G42" i="17"/>
  <c r="F42" i="17"/>
  <c r="G41" i="17"/>
  <c r="F41" i="17"/>
  <c r="G40" i="17"/>
  <c r="F40" i="17"/>
  <c r="G39" i="17"/>
  <c r="F39" i="17"/>
  <c r="G38" i="17"/>
  <c r="F38" i="17"/>
  <c r="G37" i="17"/>
  <c r="F37" i="17"/>
  <c r="G36" i="17"/>
  <c r="F36" i="17"/>
  <c r="G35" i="17"/>
  <c r="F35" i="17"/>
  <c r="G34" i="17"/>
  <c r="F34" i="17"/>
  <c r="G33" i="17"/>
  <c r="F33" i="17"/>
  <c r="G32" i="17"/>
  <c r="F32" i="17"/>
  <c r="G31" i="17"/>
  <c r="F31" i="17"/>
  <c r="G30" i="17"/>
  <c r="F30" i="17"/>
  <c r="G29" i="17"/>
  <c r="F29" i="17"/>
  <c r="G28" i="17"/>
  <c r="F28" i="17"/>
  <c r="G27" i="17"/>
  <c r="F27" i="17"/>
  <c r="G26" i="17"/>
  <c r="F26" i="17"/>
  <c r="G25" i="17"/>
  <c r="F25" i="17"/>
  <c r="G24" i="17"/>
  <c r="F24" i="17"/>
  <c r="G23" i="17"/>
  <c r="F23" i="17"/>
  <c r="G22" i="17"/>
  <c r="F22" i="17"/>
  <c r="G21" i="17"/>
  <c r="F21" i="17"/>
  <c r="G20" i="17"/>
  <c r="F20" i="17"/>
  <c r="G19" i="17"/>
  <c r="F19" i="17"/>
  <c r="G18" i="17"/>
  <c r="F18" i="17"/>
  <c r="G17" i="17"/>
  <c r="F17" i="17"/>
  <c r="G16" i="17"/>
  <c r="F16" i="17"/>
  <c r="G15" i="17"/>
  <c r="F15" i="17"/>
  <c r="G14" i="17"/>
  <c r="F14" i="17"/>
  <c r="G13" i="17"/>
  <c r="F13" i="17"/>
  <c r="G12" i="17"/>
  <c r="F12" i="17"/>
  <c r="G11" i="17"/>
  <c r="F11" i="17"/>
  <c r="G10" i="17"/>
  <c r="F10" i="17"/>
  <c r="G9" i="17"/>
  <c r="F9" i="17"/>
  <c r="G8" i="17"/>
  <c r="F8" i="17"/>
  <c r="G7" i="17"/>
  <c r="F7" i="17"/>
  <c r="G6" i="17"/>
  <c r="F6" i="17"/>
  <c r="G5" i="17"/>
  <c r="F5" i="17"/>
  <c r="G4" i="17"/>
  <c r="F4" i="17"/>
  <c r="G3" i="17"/>
  <c r="F3" i="17"/>
  <c r="G2" i="17"/>
  <c r="F2" i="17"/>
  <c r="G101" i="15"/>
  <c r="F101" i="15"/>
  <c r="G100" i="15"/>
  <c r="F100" i="15"/>
  <c r="G99" i="15"/>
  <c r="F99" i="15"/>
  <c r="G98" i="15"/>
  <c r="F98" i="15"/>
  <c r="G97" i="15"/>
  <c r="F97" i="15"/>
  <c r="G96" i="15"/>
  <c r="F96" i="15"/>
  <c r="G95" i="15"/>
  <c r="F95" i="15"/>
  <c r="G94" i="15"/>
  <c r="F94" i="15"/>
  <c r="G93" i="15"/>
  <c r="F93" i="15"/>
  <c r="G92" i="15"/>
  <c r="F92" i="15"/>
  <c r="G91" i="15"/>
  <c r="F91" i="15"/>
  <c r="G90" i="15"/>
  <c r="F90" i="15"/>
  <c r="G89" i="15"/>
  <c r="F89" i="15"/>
  <c r="G88" i="15"/>
  <c r="F88" i="15"/>
  <c r="G87" i="15"/>
  <c r="F87" i="15"/>
  <c r="G86" i="15"/>
  <c r="F86" i="15"/>
  <c r="G85" i="15"/>
  <c r="F85" i="15"/>
  <c r="G84" i="15"/>
  <c r="F84" i="15"/>
  <c r="G83" i="15"/>
  <c r="F83" i="15"/>
  <c r="G82" i="15"/>
  <c r="F82" i="15"/>
  <c r="G81" i="15"/>
  <c r="F81" i="15"/>
  <c r="G80" i="15"/>
  <c r="F80" i="15"/>
  <c r="G79" i="15"/>
  <c r="F79" i="15"/>
  <c r="G78" i="15"/>
  <c r="F78" i="15"/>
  <c r="G77" i="15"/>
  <c r="F77" i="15"/>
  <c r="G76" i="15"/>
  <c r="F76" i="15"/>
  <c r="G75" i="15"/>
  <c r="F75" i="15"/>
  <c r="G74" i="15"/>
  <c r="F74" i="15"/>
  <c r="G73" i="15"/>
  <c r="F73" i="15"/>
  <c r="G72" i="15"/>
  <c r="F72" i="15"/>
  <c r="G71" i="15"/>
  <c r="F71" i="15"/>
  <c r="G70" i="15"/>
  <c r="F70" i="15"/>
  <c r="G69" i="15"/>
  <c r="F69" i="15"/>
  <c r="G68" i="15"/>
  <c r="F68" i="15"/>
  <c r="G67" i="15"/>
  <c r="F67" i="15"/>
  <c r="G66" i="15"/>
  <c r="F66" i="15"/>
  <c r="G65" i="15"/>
  <c r="F65" i="15"/>
  <c r="G64" i="15"/>
  <c r="F64" i="15"/>
  <c r="G63" i="15"/>
  <c r="F63" i="15"/>
  <c r="G62" i="15"/>
  <c r="F62" i="15"/>
  <c r="G61" i="15"/>
  <c r="F61" i="15"/>
  <c r="G60" i="15"/>
  <c r="F60" i="15"/>
  <c r="G59" i="15"/>
  <c r="F59" i="15"/>
  <c r="G58" i="15"/>
  <c r="F58" i="15"/>
  <c r="G57" i="15"/>
  <c r="F57" i="15"/>
  <c r="G56" i="15"/>
  <c r="F56" i="15"/>
  <c r="G55" i="15"/>
  <c r="F55" i="15"/>
  <c r="G54" i="15"/>
  <c r="F54" i="15"/>
  <c r="G53" i="15"/>
  <c r="F53" i="15"/>
  <c r="G52" i="15"/>
  <c r="F52" i="15"/>
  <c r="G51" i="15"/>
  <c r="F51" i="15"/>
  <c r="G50" i="15"/>
  <c r="F50" i="15"/>
  <c r="G49" i="15"/>
  <c r="F49" i="15"/>
  <c r="G48" i="15"/>
  <c r="F48" i="15"/>
  <c r="G47" i="15"/>
  <c r="F47" i="15"/>
  <c r="G46" i="15"/>
  <c r="F46" i="15"/>
  <c r="G45" i="15"/>
  <c r="F45" i="15"/>
  <c r="G44" i="15"/>
  <c r="F44" i="15"/>
  <c r="G43" i="15"/>
  <c r="F43" i="15"/>
  <c r="G42" i="15"/>
  <c r="F42" i="15"/>
  <c r="G41" i="15"/>
  <c r="F41" i="15"/>
  <c r="G40" i="15"/>
  <c r="F40" i="15"/>
  <c r="G39" i="15"/>
  <c r="F39" i="15"/>
  <c r="G38" i="15"/>
  <c r="F38" i="15"/>
  <c r="G37" i="15"/>
  <c r="F37" i="15"/>
  <c r="G36" i="15"/>
  <c r="F36" i="15"/>
  <c r="G35" i="15"/>
  <c r="F35" i="15"/>
  <c r="G34" i="15"/>
  <c r="F34" i="15"/>
  <c r="G33" i="15"/>
  <c r="F33" i="15"/>
  <c r="G32" i="15"/>
  <c r="F32" i="15"/>
  <c r="G31" i="15"/>
  <c r="F31" i="15"/>
  <c r="G30" i="15"/>
  <c r="F30" i="15"/>
  <c r="G29" i="15"/>
  <c r="F29" i="15"/>
  <c r="G28" i="15"/>
  <c r="F28" i="15"/>
  <c r="G27" i="15"/>
  <c r="F27" i="15"/>
  <c r="G26" i="15"/>
  <c r="F26" i="15"/>
  <c r="G25" i="15"/>
  <c r="F25" i="15"/>
  <c r="G24" i="15"/>
  <c r="F24" i="15"/>
  <c r="G23" i="15"/>
  <c r="F23" i="15"/>
  <c r="G22" i="15"/>
  <c r="F22" i="15"/>
  <c r="G21" i="15"/>
  <c r="F21" i="15"/>
  <c r="G20" i="15"/>
  <c r="F20" i="15"/>
  <c r="G19" i="15"/>
  <c r="F19" i="15"/>
  <c r="G18" i="15"/>
  <c r="F18" i="15"/>
  <c r="G17" i="15"/>
  <c r="F17" i="15"/>
  <c r="G16" i="15"/>
  <c r="F16" i="15"/>
  <c r="G15" i="15"/>
  <c r="F15" i="15"/>
  <c r="G14" i="15"/>
  <c r="F14" i="15"/>
  <c r="G13" i="15"/>
  <c r="F13" i="15"/>
  <c r="G12" i="15"/>
  <c r="F12" i="15"/>
  <c r="G11" i="15"/>
  <c r="F11" i="15"/>
  <c r="G10" i="15"/>
  <c r="F10" i="15"/>
  <c r="G9" i="15"/>
  <c r="F9" i="15"/>
  <c r="G8" i="15"/>
  <c r="F8" i="15"/>
  <c r="G7" i="15"/>
  <c r="F7" i="15"/>
  <c r="G6" i="15"/>
  <c r="F6" i="15"/>
  <c r="G5" i="15"/>
  <c r="F5" i="15"/>
  <c r="F4" i="15"/>
  <c r="G3" i="15"/>
  <c r="F3" i="15"/>
  <c r="G2" i="15"/>
  <c r="F2" i="15"/>
  <c r="G101" i="16"/>
  <c r="F101" i="16"/>
  <c r="G100" i="16"/>
  <c r="F100" i="16"/>
  <c r="G99" i="16"/>
  <c r="F99" i="16"/>
  <c r="G98" i="16"/>
  <c r="F98" i="16"/>
  <c r="G97" i="16"/>
  <c r="F97" i="16"/>
  <c r="G96" i="16"/>
  <c r="F96" i="16"/>
  <c r="G95" i="16"/>
  <c r="F95" i="16"/>
  <c r="G94" i="16"/>
  <c r="F94" i="16"/>
  <c r="G93" i="16"/>
  <c r="F93" i="16"/>
  <c r="G92" i="16"/>
  <c r="F92" i="16"/>
  <c r="G91" i="16"/>
  <c r="F91" i="16"/>
  <c r="G90" i="16"/>
  <c r="F90" i="16"/>
  <c r="G89" i="16"/>
  <c r="F89" i="16"/>
  <c r="G88" i="16"/>
  <c r="F88" i="16"/>
  <c r="G87" i="16"/>
  <c r="F87" i="16"/>
  <c r="G86" i="16"/>
  <c r="F86" i="16"/>
  <c r="G85" i="16"/>
  <c r="F85" i="16"/>
  <c r="G84" i="16"/>
  <c r="F84" i="16"/>
  <c r="G83" i="16"/>
  <c r="F83" i="16"/>
  <c r="G82" i="16"/>
  <c r="F82" i="16"/>
  <c r="G81" i="16"/>
  <c r="F81" i="16"/>
  <c r="G80" i="16"/>
  <c r="F80" i="16"/>
  <c r="G79" i="16"/>
  <c r="F79" i="16"/>
  <c r="G78" i="16"/>
  <c r="F78" i="16"/>
  <c r="G77" i="16"/>
  <c r="F77" i="16"/>
  <c r="G76" i="16"/>
  <c r="F76" i="16"/>
  <c r="G75" i="16"/>
  <c r="F75" i="16"/>
  <c r="G74" i="16"/>
  <c r="F74" i="16"/>
  <c r="G73" i="16"/>
  <c r="F73" i="16"/>
  <c r="G72" i="16"/>
  <c r="F72" i="16"/>
  <c r="G71" i="16"/>
  <c r="F71" i="16"/>
  <c r="G70" i="16"/>
  <c r="F70" i="16"/>
  <c r="G69" i="16"/>
  <c r="F69" i="16"/>
  <c r="G68" i="16"/>
  <c r="F68" i="16"/>
  <c r="G67" i="16"/>
  <c r="F67" i="16"/>
  <c r="G66" i="16"/>
  <c r="F66" i="16"/>
  <c r="G65" i="16"/>
  <c r="F65" i="16"/>
  <c r="G64" i="16"/>
  <c r="F64" i="16"/>
  <c r="G63" i="16"/>
  <c r="F63" i="16"/>
  <c r="G62" i="16"/>
  <c r="F62" i="16"/>
  <c r="G61" i="16"/>
  <c r="F61" i="16"/>
  <c r="G60" i="16"/>
  <c r="F60" i="16"/>
  <c r="G59" i="16"/>
  <c r="F59" i="16"/>
  <c r="G58" i="16"/>
  <c r="F58" i="16"/>
  <c r="G57" i="16"/>
  <c r="F57" i="16"/>
  <c r="G56" i="16"/>
  <c r="F56" i="16"/>
  <c r="G55" i="16"/>
  <c r="F55" i="16"/>
  <c r="G54" i="16"/>
  <c r="F54" i="16"/>
  <c r="G53" i="16"/>
  <c r="F53" i="16"/>
  <c r="G52" i="16"/>
  <c r="F52" i="16"/>
  <c r="G51" i="16"/>
  <c r="F51" i="16"/>
  <c r="G50" i="16"/>
  <c r="F50" i="16"/>
  <c r="G49" i="16"/>
  <c r="F49" i="16"/>
  <c r="G48" i="16"/>
  <c r="F48" i="16"/>
  <c r="G47" i="16"/>
  <c r="F47" i="16"/>
  <c r="G46" i="16"/>
  <c r="F46" i="16"/>
  <c r="G45" i="16"/>
  <c r="F45" i="16"/>
  <c r="G44" i="16"/>
  <c r="F44" i="16"/>
  <c r="G43" i="16"/>
  <c r="F43" i="16"/>
  <c r="G42" i="16"/>
  <c r="F42" i="16"/>
  <c r="G41" i="16"/>
  <c r="F41" i="16"/>
  <c r="G40" i="16"/>
  <c r="F40" i="16"/>
  <c r="G39" i="16"/>
  <c r="F39" i="16"/>
  <c r="G38" i="16"/>
  <c r="F38" i="16"/>
  <c r="G37" i="16"/>
  <c r="F37" i="16"/>
  <c r="G36" i="16"/>
  <c r="F36" i="16"/>
  <c r="G35" i="16"/>
  <c r="F35" i="16"/>
  <c r="G34" i="16"/>
  <c r="F34" i="16"/>
  <c r="G33" i="16"/>
  <c r="F33" i="16"/>
  <c r="G32" i="16"/>
  <c r="F32" i="16"/>
  <c r="G31" i="16"/>
  <c r="F31" i="16"/>
  <c r="G30" i="16"/>
  <c r="F30" i="16"/>
  <c r="G29" i="16"/>
  <c r="F29" i="16"/>
  <c r="G28" i="16"/>
  <c r="F28" i="16"/>
  <c r="G27" i="16"/>
  <c r="F27" i="16"/>
  <c r="G26" i="16"/>
  <c r="F26" i="16"/>
  <c r="G25" i="16"/>
  <c r="F25" i="16"/>
  <c r="G24" i="16"/>
  <c r="F24" i="16"/>
  <c r="G23" i="16"/>
  <c r="F23" i="16"/>
  <c r="G22" i="16"/>
  <c r="F22" i="16"/>
  <c r="G21" i="16"/>
  <c r="F21" i="16"/>
  <c r="G20" i="16"/>
  <c r="F20" i="16"/>
  <c r="G19" i="16"/>
  <c r="F19" i="16"/>
  <c r="G18" i="16"/>
  <c r="F18" i="16"/>
  <c r="G17" i="16"/>
  <c r="F17" i="16"/>
  <c r="G16" i="16"/>
  <c r="F16" i="16"/>
  <c r="G15" i="16"/>
  <c r="F15" i="16"/>
  <c r="G14" i="16"/>
  <c r="F14" i="16"/>
  <c r="G13" i="16"/>
  <c r="F13" i="16"/>
  <c r="G12" i="16"/>
  <c r="F12" i="16"/>
  <c r="G11" i="16"/>
  <c r="F11" i="16"/>
  <c r="G10" i="16"/>
  <c r="F10" i="16"/>
  <c r="G9" i="16"/>
  <c r="F9" i="16"/>
  <c r="G8" i="16"/>
  <c r="F8" i="16"/>
  <c r="G7" i="16"/>
  <c r="F7" i="16"/>
  <c r="G6" i="16"/>
  <c r="F6" i="16"/>
  <c r="G5" i="16"/>
  <c r="F5" i="16"/>
  <c r="G4" i="16"/>
  <c r="F4" i="16"/>
  <c r="G3" i="16"/>
  <c r="F3" i="16"/>
  <c r="G2" i="16"/>
  <c r="F2" i="16"/>
  <c r="F101" i="14"/>
  <c r="E101" i="14"/>
  <c r="F100" i="14"/>
  <c r="E100" i="14"/>
  <c r="F99" i="14"/>
  <c r="E99" i="14"/>
  <c r="F98" i="14"/>
  <c r="E98" i="14"/>
  <c r="F97" i="14"/>
  <c r="E97" i="14"/>
  <c r="F96" i="14"/>
  <c r="E96" i="14"/>
  <c r="F95" i="14"/>
  <c r="E95" i="14"/>
  <c r="F94" i="14"/>
  <c r="E94" i="14"/>
  <c r="F93" i="14"/>
  <c r="E93" i="14"/>
  <c r="F92" i="14"/>
  <c r="E92" i="14"/>
  <c r="F91" i="14"/>
  <c r="E91" i="14"/>
  <c r="F90" i="14"/>
  <c r="E90" i="14"/>
  <c r="F89" i="14"/>
  <c r="E89" i="14"/>
  <c r="F88" i="14"/>
  <c r="E88" i="14"/>
  <c r="F87" i="14"/>
  <c r="E87" i="14"/>
  <c r="F86" i="14"/>
  <c r="E86" i="14"/>
  <c r="F85" i="14"/>
  <c r="E85" i="14"/>
  <c r="F84" i="14"/>
  <c r="E84" i="14"/>
  <c r="F83" i="14"/>
  <c r="E83" i="14"/>
  <c r="F82" i="14"/>
  <c r="E82" i="14"/>
  <c r="F81" i="14"/>
  <c r="E81" i="14"/>
  <c r="F80" i="14"/>
  <c r="E80" i="14"/>
  <c r="F79" i="14"/>
  <c r="E79" i="14"/>
  <c r="F78" i="14"/>
  <c r="E78" i="14"/>
  <c r="F77" i="14"/>
  <c r="E77" i="14"/>
  <c r="F76" i="14"/>
  <c r="E76" i="14"/>
  <c r="F75" i="14"/>
  <c r="E75" i="14"/>
  <c r="F74" i="14"/>
  <c r="E74" i="14"/>
  <c r="F73" i="14"/>
  <c r="E73" i="14"/>
  <c r="F72" i="14"/>
  <c r="E72" i="14"/>
  <c r="F71" i="14"/>
  <c r="E71" i="14"/>
  <c r="F70" i="14"/>
  <c r="E70" i="14"/>
  <c r="F69" i="14"/>
  <c r="E69" i="14"/>
  <c r="F68" i="14"/>
  <c r="E68" i="14"/>
  <c r="F67" i="14"/>
  <c r="E67" i="14"/>
  <c r="F66" i="14"/>
  <c r="E66" i="14"/>
  <c r="F65" i="14"/>
  <c r="E65" i="14"/>
  <c r="F64" i="14"/>
  <c r="E64" i="14"/>
  <c r="F63" i="14"/>
  <c r="E63" i="14"/>
  <c r="F62" i="14"/>
  <c r="E62" i="14"/>
  <c r="F61" i="14"/>
  <c r="E61" i="14"/>
  <c r="F60" i="14"/>
  <c r="E60" i="14"/>
  <c r="F59" i="14"/>
  <c r="E59" i="14"/>
  <c r="F58" i="14"/>
  <c r="E58" i="14"/>
  <c r="F57" i="14"/>
  <c r="E57" i="14"/>
  <c r="F56" i="14"/>
  <c r="E56" i="14"/>
  <c r="F55" i="14"/>
  <c r="E55" i="14"/>
  <c r="F54" i="14"/>
  <c r="E54" i="14"/>
  <c r="F53" i="14"/>
  <c r="E53" i="14"/>
  <c r="F52" i="14"/>
  <c r="E52" i="14"/>
  <c r="F51" i="14"/>
  <c r="E51" i="14"/>
  <c r="F50" i="14"/>
  <c r="E50" i="14"/>
  <c r="F49" i="14"/>
  <c r="E49" i="14"/>
  <c r="F48" i="14"/>
  <c r="E48" i="14"/>
  <c r="F47" i="14"/>
  <c r="E47" i="14"/>
  <c r="F46" i="14"/>
  <c r="E46" i="14"/>
  <c r="F45" i="14"/>
  <c r="E45" i="14"/>
  <c r="F44" i="14"/>
  <c r="E44" i="14"/>
  <c r="F43" i="14"/>
  <c r="E43" i="14"/>
  <c r="F42" i="14"/>
  <c r="E42" i="14"/>
  <c r="F41" i="14"/>
  <c r="E41" i="14"/>
  <c r="F40" i="14"/>
  <c r="E40" i="14"/>
  <c r="F39" i="14"/>
  <c r="E39" i="14"/>
  <c r="F38" i="14"/>
  <c r="E38" i="14"/>
  <c r="F37" i="14"/>
  <c r="E37" i="14"/>
  <c r="F36" i="14"/>
  <c r="E36" i="14"/>
  <c r="F35" i="14"/>
  <c r="E35" i="14"/>
  <c r="F34" i="14"/>
  <c r="E34" i="14"/>
  <c r="F33" i="14"/>
  <c r="E33" i="14"/>
  <c r="F32" i="14"/>
  <c r="E32" i="14"/>
  <c r="F31" i="14"/>
  <c r="E31" i="14"/>
  <c r="F30" i="14"/>
  <c r="E30" i="14"/>
  <c r="F29" i="14"/>
  <c r="E29" i="14"/>
  <c r="F28" i="14"/>
  <c r="E28" i="14"/>
  <c r="F27" i="14"/>
  <c r="E27" i="14"/>
  <c r="F26" i="14"/>
  <c r="E26" i="14"/>
  <c r="F25" i="14"/>
  <c r="E25" i="14"/>
  <c r="F24" i="14"/>
  <c r="E24" i="14"/>
  <c r="F23" i="14"/>
  <c r="E23" i="14"/>
  <c r="F22" i="14"/>
  <c r="E22" i="14"/>
  <c r="F21" i="14"/>
  <c r="E21" i="14"/>
  <c r="F20" i="14"/>
  <c r="E20" i="14"/>
  <c r="F19" i="14"/>
  <c r="E19" i="14"/>
  <c r="F18" i="14"/>
  <c r="E18" i="14"/>
  <c r="F17" i="14"/>
  <c r="E17" i="14"/>
  <c r="F16" i="14"/>
  <c r="E16" i="14"/>
  <c r="F15" i="14"/>
  <c r="E15" i="14"/>
  <c r="F14" i="14"/>
  <c r="E14" i="14"/>
  <c r="F13" i="14"/>
  <c r="E13" i="14"/>
  <c r="F12" i="14"/>
  <c r="E12" i="14"/>
  <c r="F11" i="14"/>
  <c r="E11" i="14"/>
  <c r="F10" i="14"/>
  <c r="E10" i="14"/>
  <c r="F9" i="14"/>
  <c r="E9" i="14"/>
  <c r="F8" i="14"/>
  <c r="E8" i="14"/>
  <c r="F7" i="14"/>
  <c r="E7" i="14"/>
  <c r="F6" i="14"/>
  <c r="E6" i="14"/>
  <c r="F5" i="14"/>
  <c r="E5" i="14"/>
  <c r="F4" i="14"/>
  <c r="E4" i="14"/>
  <c r="F3" i="14"/>
  <c r="E3" i="14"/>
  <c r="F2" i="14"/>
  <c r="E2" i="14"/>
  <c r="G101" i="13"/>
  <c r="F101" i="13"/>
  <c r="G100" i="13"/>
  <c r="F100" i="13"/>
  <c r="G99" i="13"/>
  <c r="F99" i="13"/>
  <c r="G98" i="13"/>
  <c r="F98" i="13"/>
  <c r="G97" i="13"/>
  <c r="F97" i="13"/>
  <c r="G96" i="13"/>
  <c r="F96" i="13"/>
  <c r="G95" i="13"/>
  <c r="F95" i="13"/>
  <c r="G94" i="13"/>
  <c r="F94" i="13"/>
  <c r="G93" i="13"/>
  <c r="F93" i="13"/>
  <c r="G92" i="13"/>
  <c r="F92" i="13"/>
  <c r="G91" i="13"/>
  <c r="F91" i="13"/>
  <c r="G90" i="13"/>
  <c r="F90" i="13"/>
  <c r="G89" i="13"/>
  <c r="F89" i="13"/>
  <c r="G88" i="13"/>
  <c r="F88" i="13"/>
  <c r="G87" i="13"/>
  <c r="F87" i="13"/>
  <c r="G86" i="13"/>
  <c r="F86" i="13"/>
  <c r="G85" i="13"/>
  <c r="F85" i="13"/>
  <c r="G84" i="13"/>
  <c r="F84" i="13"/>
  <c r="G83" i="13"/>
  <c r="F83" i="13"/>
  <c r="G82" i="13"/>
  <c r="F82" i="13"/>
  <c r="G81" i="13"/>
  <c r="F81" i="13"/>
  <c r="G80" i="13"/>
  <c r="F80" i="13"/>
  <c r="G79" i="13"/>
  <c r="F79" i="13"/>
  <c r="G78" i="13"/>
  <c r="F78" i="13"/>
  <c r="G77" i="13"/>
  <c r="F77" i="13"/>
  <c r="G76" i="13"/>
  <c r="F76" i="13"/>
  <c r="G75" i="13"/>
  <c r="F75" i="13"/>
  <c r="G74" i="13"/>
  <c r="F74" i="13"/>
  <c r="G73" i="13"/>
  <c r="F73" i="13"/>
  <c r="G72" i="13"/>
  <c r="F72" i="13"/>
  <c r="G71" i="13"/>
  <c r="F71" i="13"/>
  <c r="G70" i="13"/>
  <c r="F70" i="13"/>
  <c r="G69" i="13"/>
  <c r="F69" i="13"/>
  <c r="G68" i="13"/>
  <c r="F68" i="13"/>
  <c r="G67" i="13"/>
  <c r="F67" i="13"/>
  <c r="G66" i="13"/>
  <c r="F66" i="13"/>
  <c r="G65" i="13"/>
  <c r="F65" i="13"/>
  <c r="G64" i="13"/>
  <c r="F64" i="13"/>
  <c r="G63" i="13"/>
  <c r="F63" i="13"/>
  <c r="G62" i="13"/>
  <c r="F62" i="13"/>
  <c r="G61" i="13"/>
  <c r="F61" i="13"/>
  <c r="G60" i="13"/>
  <c r="F60" i="13"/>
  <c r="G59" i="13"/>
  <c r="F59" i="13"/>
  <c r="G58" i="13"/>
  <c r="F58" i="13"/>
  <c r="G57" i="13"/>
  <c r="F57" i="13"/>
  <c r="G56" i="13"/>
  <c r="F56" i="13"/>
  <c r="G55" i="13"/>
  <c r="F55" i="13"/>
  <c r="G54" i="13"/>
  <c r="F54" i="13"/>
  <c r="G53" i="13"/>
  <c r="F53" i="13"/>
  <c r="G52" i="13"/>
  <c r="F52" i="13"/>
  <c r="G51" i="13"/>
  <c r="F51" i="13"/>
  <c r="G50" i="13"/>
  <c r="F50" i="13"/>
  <c r="G49" i="13"/>
  <c r="F49" i="13"/>
  <c r="G48" i="13"/>
  <c r="F48" i="13"/>
  <c r="G47" i="13"/>
  <c r="F47" i="13"/>
  <c r="G46" i="13"/>
  <c r="F46" i="13"/>
  <c r="G45" i="13"/>
  <c r="F45" i="13"/>
  <c r="G44" i="13"/>
  <c r="F44" i="13"/>
  <c r="G43" i="13"/>
  <c r="F43" i="13"/>
  <c r="G42" i="13"/>
  <c r="F42" i="13"/>
  <c r="G41" i="13"/>
  <c r="F41" i="13"/>
  <c r="G40" i="13"/>
  <c r="F40" i="13"/>
  <c r="G39" i="13"/>
  <c r="F39" i="13"/>
  <c r="G38" i="13"/>
  <c r="F38" i="13"/>
  <c r="G37" i="13"/>
  <c r="F37" i="13"/>
  <c r="G36" i="13"/>
  <c r="F36" i="13"/>
  <c r="G35" i="13"/>
  <c r="F35" i="13"/>
  <c r="G34" i="13"/>
  <c r="F34" i="13"/>
  <c r="G33" i="13"/>
  <c r="F33" i="13"/>
  <c r="G32" i="13"/>
  <c r="F32" i="13"/>
  <c r="G31" i="13"/>
  <c r="F31" i="13"/>
  <c r="G30" i="13"/>
  <c r="F30" i="13"/>
  <c r="G29" i="13"/>
  <c r="F29" i="13"/>
  <c r="G28" i="13"/>
  <c r="F28" i="13"/>
  <c r="G27" i="13"/>
  <c r="F27" i="13"/>
  <c r="G26" i="13"/>
  <c r="F26" i="13"/>
  <c r="G25" i="13"/>
  <c r="F25" i="13"/>
  <c r="G24" i="13"/>
  <c r="F24" i="13"/>
  <c r="G23" i="13"/>
  <c r="F23" i="13"/>
  <c r="G22" i="13"/>
  <c r="F22" i="13"/>
  <c r="G21" i="13"/>
  <c r="F21" i="13"/>
  <c r="G20" i="13"/>
  <c r="F20" i="13"/>
  <c r="G19" i="13"/>
  <c r="F19" i="13"/>
  <c r="G18" i="13"/>
  <c r="F18" i="13"/>
  <c r="G17" i="13"/>
  <c r="F17" i="13"/>
  <c r="G16" i="13"/>
  <c r="F16" i="13"/>
  <c r="G15" i="13"/>
  <c r="F15" i="13"/>
  <c r="G14" i="13"/>
  <c r="F14" i="13"/>
  <c r="G13" i="13"/>
  <c r="F13" i="13"/>
  <c r="G12" i="13"/>
  <c r="F12" i="13"/>
  <c r="G11" i="13"/>
  <c r="F11" i="13"/>
  <c r="G10" i="13"/>
  <c r="F10" i="13"/>
  <c r="G9" i="13"/>
  <c r="F9" i="13"/>
  <c r="G8" i="13"/>
  <c r="F8" i="13"/>
  <c r="G7" i="13"/>
  <c r="F7" i="13"/>
  <c r="G6" i="13"/>
  <c r="F6" i="13"/>
  <c r="G5" i="13"/>
  <c r="F5" i="13"/>
  <c r="G4" i="13"/>
  <c r="F4" i="13"/>
  <c r="G3" i="13"/>
  <c r="F3" i="13"/>
  <c r="G2" i="13"/>
  <c r="F2" i="13"/>
  <c r="H8" i="2"/>
  <c r="G8" i="2"/>
  <c r="H24" i="2"/>
  <c r="G24" i="2"/>
  <c r="H26" i="2"/>
  <c r="G26" i="2"/>
  <c r="H2" i="2"/>
  <c r="G2" i="2"/>
  <c r="H5" i="2"/>
  <c r="G5" i="2"/>
  <c r="G101" i="12"/>
  <c r="G100" i="12"/>
  <c r="G99" i="12"/>
  <c r="G98" i="12"/>
  <c r="G97" i="12"/>
  <c r="G96" i="12"/>
  <c r="G95" i="12"/>
  <c r="G94" i="12"/>
  <c r="G93" i="12"/>
  <c r="G92" i="12"/>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G7" i="12"/>
  <c r="G6" i="12"/>
  <c r="G5" i="12"/>
  <c r="G4" i="12"/>
  <c r="G3" i="12"/>
  <c r="H2" i="12"/>
  <c r="G2" i="12"/>
  <c r="F101" i="11"/>
  <c r="E101" i="11"/>
  <c r="F100" i="11"/>
  <c r="E100" i="11"/>
  <c r="F99" i="11"/>
  <c r="E99" i="11"/>
  <c r="F98" i="11"/>
  <c r="E98" i="11"/>
  <c r="F97" i="11"/>
  <c r="E97" i="11"/>
  <c r="F96" i="11"/>
  <c r="E96" i="11"/>
  <c r="F95" i="11"/>
  <c r="E95" i="11"/>
  <c r="F94" i="11"/>
  <c r="E94" i="11"/>
  <c r="F93" i="11"/>
  <c r="E93" i="11"/>
  <c r="F92" i="11"/>
  <c r="E92" i="11"/>
  <c r="F91" i="11"/>
  <c r="E91" i="11"/>
  <c r="F90" i="11"/>
  <c r="E90" i="11"/>
  <c r="F89" i="11"/>
  <c r="E89" i="11"/>
  <c r="F88" i="11"/>
  <c r="E88" i="11"/>
  <c r="F87" i="11"/>
  <c r="E87" i="11"/>
  <c r="F86" i="11"/>
  <c r="E86" i="11"/>
  <c r="F85" i="11"/>
  <c r="E85" i="11"/>
  <c r="F84" i="11"/>
  <c r="E84" i="11"/>
  <c r="F83" i="11"/>
  <c r="E83" i="11"/>
  <c r="F82" i="11"/>
  <c r="E82" i="11"/>
  <c r="F81" i="11"/>
  <c r="E81" i="11"/>
  <c r="F80" i="11"/>
  <c r="E80" i="11"/>
  <c r="F79" i="11"/>
  <c r="E79" i="11"/>
  <c r="F78" i="11"/>
  <c r="E78" i="11"/>
  <c r="F77" i="11"/>
  <c r="E77" i="11"/>
  <c r="F76" i="11"/>
  <c r="E76" i="11"/>
  <c r="F75" i="11"/>
  <c r="E75" i="11"/>
  <c r="F74" i="11"/>
  <c r="E74" i="11"/>
  <c r="F73" i="11"/>
  <c r="E73" i="11"/>
  <c r="F72" i="11"/>
  <c r="E72" i="11"/>
  <c r="F71" i="11"/>
  <c r="E71" i="11"/>
  <c r="F70" i="11"/>
  <c r="E70" i="11"/>
  <c r="F69" i="11"/>
  <c r="E69" i="11"/>
  <c r="F68" i="11"/>
  <c r="E68" i="11"/>
  <c r="F67" i="11"/>
  <c r="E67" i="11"/>
  <c r="F66" i="11"/>
  <c r="E66" i="11"/>
  <c r="F65" i="11"/>
  <c r="E65" i="11"/>
  <c r="F64" i="11"/>
  <c r="E64" i="11"/>
  <c r="F63" i="11"/>
  <c r="E63" i="11"/>
  <c r="F62" i="11"/>
  <c r="E62" i="11"/>
  <c r="F61" i="11"/>
  <c r="E61" i="11"/>
  <c r="F60" i="11"/>
  <c r="E60" i="11"/>
  <c r="F59" i="11"/>
  <c r="E59" i="11"/>
  <c r="F58" i="11"/>
  <c r="E58" i="11"/>
  <c r="F57" i="11"/>
  <c r="E57" i="11"/>
  <c r="F56" i="11"/>
  <c r="E56" i="11"/>
  <c r="F55" i="11"/>
  <c r="E55" i="11"/>
  <c r="F54" i="11"/>
  <c r="E54" i="11"/>
  <c r="F53" i="11"/>
  <c r="E53" i="11"/>
  <c r="F52" i="11"/>
  <c r="E52" i="11"/>
  <c r="F51" i="11"/>
  <c r="E51" i="11"/>
  <c r="F50" i="11"/>
  <c r="E50" i="11"/>
  <c r="F49" i="11"/>
  <c r="E49" i="11"/>
  <c r="F48" i="11"/>
  <c r="E48" i="11"/>
  <c r="F47" i="11"/>
  <c r="E47" i="11"/>
  <c r="F46" i="11"/>
  <c r="E46" i="11"/>
  <c r="F45" i="11"/>
  <c r="E45" i="11"/>
  <c r="F44" i="11"/>
  <c r="E44" i="11"/>
  <c r="F43" i="11"/>
  <c r="E43" i="11"/>
  <c r="F42" i="11"/>
  <c r="E42" i="11"/>
  <c r="F41" i="11"/>
  <c r="E41" i="11"/>
  <c r="F40" i="11"/>
  <c r="E40" i="11"/>
  <c r="F39" i="11"/>
  <c r="E39" i="11"/>
  <c r="F38" i="11"/>
  <c r="E38" i="11"/>
  <c r="F37" i="11"/>
  <c r="E37" i="11"/>
  <c r="F36" i="11"/>
  <c r="E36" i="11"/>
  <c r="F35" i="11"/>
  <c r="E35" i="11"/>
  <c r="F34" i="11"/>
  <c r="E34" i="11"/>
  <c r="F33" i="11"/>
  <c r="E33" i="11"/>
  <c r="F32" i="11"/>
  <c r="E32" i="11"/>
  <c r="F31" i="11"/>
  <c r="E31" i="11"/>
  <c r="F30" i="11"/>
  <c r="E30" i="11"/>
  <c r="F29" i="11"/>
  <c r="E29" i="11"/>
  <c r="F28" i="11"/>
  <c r="E28" i="11"/>
  <c r="F27" i="11"/>
  <c r="E27" i="11"/>
  <c r="F26" i="11"/>
  <c r="E26" i="11"/>
  <c r="F25" i="11"/>
  <c r="E25" i="11"/>
  <c r="F24" i="11"/>
  <c r="E24" i="11"/>
  <c r="F23" i="11"/>
  <c r="E23" i="11"/>
  <c r="F22" i="11"/>
  <c r="E22" i="11"/>
  <c r="F21" i="11"/>
  <c r="E21" i="11"/>
  <c r="F20" i="11"/>
  <c r="E20" i="11"/>
  <c r="F19" i="11"/>
  <c r="E19" i="11"/>
  <c r="F18" i="11"/>
  <c r="E18" i="11"/>
  <c r="F17" i="11"/>
  <c r="E17" i="11"/>
  <c r="F16" i="11"/>
  <c r="E16" i="11"/>
  <c r="F15" i="11"/>
  <c r="E15" i="11"/>
  <c r="F14" i="11"/>
  <c r="E14" i="11"/>
  <c r="F13" i="11"/>
  <c r="E13" i="11"/>
  <c r="F12" i="11"/>
  <c r="E12" i="11"/>
  <c r="F11" i="11"/>
  <c r="E11" i="11"/>
  <c r="F10" i="11"/>
  <c r="E10" i="11"/>
  <c r="F9" i="11"/>
  <c r="E9" i="11"/>
  <c r="F8" i="11"/>
  <c r="E8" i="11"/>
  <c r="F7" i="11"/>
  <c r="E7" i="11"/>
  <c r="F6" i="11"/>
  <c r="E6" i="11"/>
  <c r="F5" i="11"/>
  <c r="E5" i="11"/>
  <c r="F4" i="11"/>
  <c r="E4" i="11"/>
  <c r="F3" i="11"/>
  <c r="E3" i="11"/>
  <c r="F2" i="11"/>
  <c r="E2" i="11"/>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G2" i="10"/>
  <c r="F2" i="10"/>
  <c r="G101" i="9"/>
  <c r="F101" i="9"/>
  <c r="G100" i="9"/>
  <c r="F100" i="9"/>
  <c r="G99" i="9"/>
  <c r="F99" i="9"/>
  <c r="G98" i="9"/>
  <c r="F98" i="9"/>
  <c r="G97" i="9"/>
  <c r="F97" i="9"/>
  <c r="G96" i="9"/>
  <c r="F96" i="9"/>
  <c r="G95" i="9"/>
  <c r="F95" i="9"/>
  <c r="G94" i="9"/>
  <c r="F94" i="9"/>
  <c r="G93" i="9"/>
  <c r="F93" i="9"/>
  <c r="G92" i="9"/>
  <c r="F92" i="9"/>
  <c r="G91" i="9"/>
  <c r="F91" i="9"/>
  <c r="G90" i="9"/>
  <c r="F90" i="9"/>
  <c r="G89" i="9"/>
  <c r="F89" i="9"/>
  <c r="G88" i="9"/>
  <c r="F88" i="9"/>
  <c r="G87" i="9"/>
  <c r="F87" i="9"/>
  <c r="G86" i="9"/>
  <c r="F86" i="9"/>
  <c r="G85" i="9"/>
  <c r="F85" i="9"/>
  <c r="G84" i="9"/>
  <c r="F84" i="9"/>
  <c r="G83" i="9"/>
  <c r="F83" i="9"/>
  <c r="G82" i="9"/>
  <c r="F82" i="9"/>
  <c r="G81" i="9"/>
  <c r="F81" i="9"/>
  <c r="G80" i="9"/>
  <c r="F80" i="9"/>
  <c r="G79" i="9"/>
  <c r="F79" i="9"/>
  <c r="G78" i="9"/>
  <c r="F78" i="9"/>
  <c r="G77" i="9"/>
  <c r="F77" i="9"/>
  <c r="G76" i="9"/>
  <c r="F76" i="9"/>
  <c r="G75" i="9"/>
  <c r="F75" i="9"/>
  <c r="G74" i="9"/>
  <c r="F74" i="9"/>
  <c r="G73" i="9"/>
  <c r="F73" i="9"/>
  <c r="G72" i="9"/>
  <c r="F72" i="9"/>
  <c r="G71" i="9"/>
  <c r="F71" i="9"/>
  <c r="G70" i="9"/>
  <c r="F70" i="9"/>
  <c r="G69" i="9"/>
  <c r="F69" i="9"/>
  <c r="G68" i="9"/>
  <c r="F68" i="9"/>
  <c r="G67" i="9"/>
  <c r="F67" i="9"/>
  <c r="G66" i="9"/>
  <c r="F66" i="9"/>
  <c r="G65" i="9"/>
  <c r="F65" i="9"/>
  <c r="G64" i="9"/>
  <c r="F64" i="9"/>
  <c r="G63" i="9"/>
  <c r="F63" i="9"/>
  <c r="G62" i="9"/>
  <c r="F62" i="9"/>
  <c r="G61" i="9"/>
  <c r="F61" i="9"/>
  <c r="G60" i="9"/>
  <c r="F60" i="9"/>
  <c r="G59" i="9"/>
  <c r="F59" i="9"/>
  <c r="G58" i="9"/>
  <c r="F58" i="9"/>
  <c r="G57" i="9"/>
  <c r="F57" i="9"/>
  <c r="G56" i="9"/>
  <c r="F56" i="9"/>
  <c r="G55" i="9"/>
  <c r="F55" i="9"/>
  <c r="G54" i="9"/>
  <c r="F54" i="9"/>
  <c r="G53" i="9"/>
  <c r="F53" i="9"/>
  <c r="G52" i="9"/>
  <c r="F52" i="9"/>
  <c r="G51" i="9"/>
  <c r="F51" i="9"/>
  <c r="G50" i="9"/>
  <c r="F50" i="9"/>
  <c r="G49" i="9"/>
  <c r="F49" i="9"/>
  <c r="G48" i="9"/>
  <c r="F48" i="9"/>
  <c r="G47" i="9"/>
  <c r="F47" i="9"/>
  <c r="G46" i="9"/>
  <c r="F46" i="9"/>
  <c r="G45" i="9"/>
  <c r="F45" i="9"/>
  <c r="G44" i="9"/>
  <c r="F44" i="9"/>
  <c r="G43" i="9"/>
  <c r="F43" i="9"/>
  <c r="G42" i="9"/>
  <c r="F42" i="9"/>
  <c r="G41" i="9"/>
  <c r="F41" i="9"/>
  <c r="G40" i="9"/>
  <c r="F40" i="9"/>
  <c r="G39" i="9"/>
  <c r="F39" i="9"/>
  <c r="G38" i="9"/>
  <c r="F38" i="9"/>
  <c r="G37" i="9"/>
  <c r="F37" i="9"/>
  <c r="G36" i="9"/>
  <c r="F36" i="9"/>
  <c r="G35" i="9"/>
  <c r="F35" i="9"/>
  <c r="G34" i="9"/>
  <c r="F34" i="9"/>
  <c r="G33" i="9"/>
  <c r="F33" i="9"/>
  <c r="G32" i="9"/>
  <c r="F32" i="9"/>
  <c r="G31" i="9"/>
  <c r="F31" i="9"/>
  <c r="G30" i="9"/>
  <c r="F30" i="9"/>
  <c r="G29" i="9"/>
  <c r="F29" i="9"/>
  <c r="G28" i="9"/>
  <c r="F28" i="9"/>
  <c r="G27" i="9"/>
  <c r="F27" i="9"/>
  <c r="G26" i="9"/>
  <c r="F26" i="9"/>
  <c r="G25" i="9"/>
  <c r="F25" i="9"/>
  <c r="G24" i="9"/>
  <c r="F24" i="9"/>
  <c r="G23" i="9"/>
  <c r="F23" i="9"/>
  <c r="G22" i="9"/>
  <c r="F22" i="9"/>
  <c r="G21" i="9"/>
  <c r="F21" i="9"/>
  <c r="G20" i="9"/>
  <c r="F20" i="9"/>
  <c r="G19" i="9"/>
  <c r="F19" i="9"/>
  <c r="G18" i="9"/>
  <c r="F18" i="9"/>
  <c r="G17" i="9"/>
  <c r="F17" i="9"/>
  <c r="G16" i="9"/>
  <c r="F16" i="9"/>
  <c r="G15" i="9"/>
  <c r="F15" i="9"/>
  <c r="G14" i="9"/>
  <c r="F14" i="9"/>
  <c r="G13" i="9"/>
  <c r="F13" i="9"/>
  <c r="G12" i="9"/>
  <c r="F12" i="9"/>
  <c r="G11" i="9"/>
  <c r="F11" i="9"/>
  <c r="G10" i="9"/>
  <c r="F10" i="9"/>
  <c r="G9" i="9"/>
  <c r="F9" i="9"/>
  <c r="G8" i="9"/>
  <c r="F8" i="9"/>
  <c r="G7" i="9"/>
  <c r="F7" i="9"/>
  <c r="G6" i="9"/>
  <c r="F6" i="9"/>
  <c r="G5" i="9"/>
  <c r="F5" i="9"/>
  <c r="G4" i="9"/>
  <c r="F4" i="9"/>
  <c r="G3" i="9"/>
  <c r="F3" i="9"/>
  <c r="G2" i="9"/>
  <c r="F2" i="9"/>
  <c r="G101" i="8"/>
  <c r="F101" i="8"/>
  <c r="G100" i="8"/>
  <c r="F100" i="8"/>
  <c r="G99" i="8"/>
  <c r="F99" i="8"/>
  <c r="G98" i="8"/>
  <c r="F98" i="8"/>
  <c r="G97" i="8"/>
  <c r="F97" i="8"/>
  <c r="G96" i="8"/>
  <c r="F96" i="8"/>
  <c r="G95" i="8"/>
  <c r="F95" i="8"/>
  <c r="G94" i="8"/>
  <c r="F94" i="8"/>
  <c r="G93" i="8"/>
  <c r="F93" i="8"/>
  <c r="G92" i="8"/>
  <c r="F92" i="8"/>
  <c r="G91" i="8"/>
  <c r="F91" i="8"/>
  <c r="G90" i="8"/>
  <c r="F90" i="8"/>
  <c r="G89" i="8"/>
  <c r="F89" i="8"/>
  <c r="G88" i="8"/>
  <c r="F88" i="8"/>
  <c r="G87" i="8"/>
  <c r="F87" i="8"/>
  <c r="G86" i="8"/>
  <c r="F86" i="8"/>
  <c r="G85" i="8"/>
  <c r="F85" i="8"/>
  <c r="G84" i="8"/>
  <c r="F84" i="8"/>
  <c r="G83" i="8"/>
  <c r="F83" i="8"/>
  <c r="G82" i="8"/>
  <c r="F82" i="8"/>
  <c r="G81" i="8"/>
  <c r="F81" i="8"/>
  <c r="G80" i="8"/>
  <c r="F80" i="8"/>
  <c r="G79" i="8"/>
  <c r="F79" i="8"/>
  <c r="G78" i="8"/>
  <c r="F78" i="8"/>
  <c r="G77" i="8"/>
  <c r="F77" i="8"/>
  <c r="G76" i="8"/>
  <c r="F76" i="8"/>
  <c r="G75" i="8"/>
  <c r="F75" i="8"/>
  <c r="G74" i="8"/>
  <c r="F74" i="8"/>
  <c r="G73" i="8"/>
  <c r="F73" i="8"/>
  <c r="G72" i="8"/>
  <c r="F72" i="8"/>
  <c r="G71" i="8"/>
  <c r="F71" i="8"/>
  <c r="G70" i="8"/>
  <c r="F70" i="8"/>
  <c r="G69" i="8"/>
  <c r="F69" i="8"/>
  <c r="G68" i="8"/>
  <c r="F68" i="8"/>
  <c r="G67" i="8"/>
  <c r="F67" i="8"/>
  <c r="G66" i="8"/>
  <c r="F66" i="8"/>
  <c r="G65" i="8"/>
  <c r="F65" i="8"/>
  <c r="G64" i="8"/>
  <c r="F64" i="8"/>
  <c r="G63" i="8"/>
  <c r="F63" i="8"/>
  <c r="G62" i="8"/>
  <c r="F62" i="8"/>
  <c r="G61" i="8"/>
  <c r="F61" i="8"/>
  <c r="G60" i="8"/>
  <c r="F60" i="8"/>
  <c r="G59" i="8"/>
  <c r="F59" i="8"/>
  <c r="G58" i="8"/>
  <c r="F58" i="8"/>
  <c r="G57" i="8"/>
  <c r="F57" i="8"/>
  <c r="G56" i="8"/>
  <c r="F56" i="8"/>
  <c r="G55" i="8"/>
  <c r="F55" i="8"/>
  <c r="G54" i="8"/>
  <c r="F54" i="8"/>
  <c r="G53" i="8"/>
  <c r="F53" i="8"/>
  <c r="G52" i="8"/>
  <c r="F52" i="8"/>
  <c r="G51" i="8"/>
  <c r="F51" i="8"/>
  <c r="G50" i="8"/>
  <c r="F50" i="8"/>
  <c r="G49" i="8"/>
  <c r="F49" i="8"/>
  <c r="G48" i="8"/>
  <c r="F48" i="8"/>
  <c r="G47" i="8"/>
  <c r="F47" i="8"/>
  <c r="G46" i="8"/>
  <c r="F46" i="8"/>
  <c r="G45" i="8"/>
  <c r="F45" i="8"/>
  <c r="G44" i="8"/>
  <c r="F44" i="8"/>
  <c r="G43" i="8"/>
  <c r="F43" i="8"/>
  <c r="G42" i="8"/>
  <c r="F42" i="8"/>
  <c r="G41" i="8"/>
  <c r="F41" i="8"/>
  <c r="G40" i="8"/>
  <c r="F40" i="8"/>
  <c r="G39" i="8"/>
  <c r="F39" i="8"/>
  <c r="G38" i="8"/>
  <c r="F38" i="8"/>
  <c r="G37" i="8"/>
  <c r="F37" i="8"/>
  <c r="G36" i="8"/>
  <c r="F36" i="8"/>
  <c r="G35" i="8"/>
  <c r="F35" i="8"/>
  <c r="G34" i="8"/>
  <c r="F34" i="8"/>
  <c r="G33" i="8"/>
  <c r="F33" i="8"/>
  <c r="G32" i="8"/>
  <c r="F32" i="8"/>
  <c r="G31" i="8"/>
  <c r="F31" i="8"/>
  <c r="G30" i="8"/>
  <c r="F30" i="8"/>
  <c r="G29" i="8"/>
  <c r="F29" i="8"/>
  <c r="G28" i="8"/>
  <c r="F28" i="8"/>
  <c r="G27" i="8"/>
  <c r="F27" i="8"/>
  <c r="G26" i="8"/>
  <c r="F26" i="8"/>
  <c r="G25" i="8"/>
  <c r="F25" i="8"/>
  <c r="G24" i="8"/>
  <c r="F24" i="8"/>
  <c r="G23" i="8"/>
  <c r="F23" i="8"/>
  <c r="G22" i="8"/>
  <c r="F22" i="8"/>
  <c r="G21" i="8"/>
  <c r="F21" i="8"/>
  <c r="G20" i="8"/>
  <c r="F20" i="8"/>
  <c r="G19" i="8"/>
  <c r="F19" i="8"/>
  <c r="G18" i="8"/>
  <c r="F18" i="8"/>
  <c r="G17" i="8"/>
  <c r="F17" i="8"/>
  <c r="G16" i="8"/>
  <c r="F16" i="8"/>
  <c r="G15" i="8"/>
  <c r="F15" i="8"/>
  <c r="G14" i="8"/>
  <c r="F14" i="8"/>
  <c r="G13" i="8"/>
  <c r="F13" i="8"/>
  <c r="G12" i="8"/>
  <c r="F12" i="8"/>
  <c r="G11" i="8"/>
  <c r="F11" i="8"/>
  <c r="G10" i="8"/>
  <c r="F10" i="8"/>
  <c r="G9" i="8"/>
  <c r="F9" i="8"/>
  <c r="G8" i="8"/>
  <c r="F8" i="8"/>
  <c r="G7" i="8"/>
  <c r="F7" i="8"/>
  <c r="G6" i="8"/>
  <c r="F6" i="8"/>
  <c r="G5" i="8"/>
  <c r="F5" i="8"/>
  <c r="G4" i="8"/>
  <c r="F4" i="8"/>
  <c r="G3" i="8"/>
  <c r="F3" i="8"/>
  <c r="G2" i="8"/>
  <c r="F2" i="8"/>
  <c r="G101" i="7"/>
  <c r="F101" i="7"/>
  <c r="G100" i="7"/>
  <c r="F100" i="7"/>
  <c r="G99" i="7"/>
  <c r="F99" i="7"/>
  <c r="G98" i="7"/>
  <c r="F98" i="7"/>
  <c r="G97" i="7"/>
  <c r="F97" i="7"/>
  <c r="G96" i="7"/>
  <c r="F96" i="7"/>
  <c r="G95" i="7"/>
  <c r="F95" i="7"/>
  <c r="G94" i="7"/>
  <c r="F94" i="7"/>
  <c r="G93" i="7"/>
  <c r="F93" i="7"/>
  <c r="G92" i="7"/>
  <c r="F92" i="7"/>
  <c r="G91" i="7"/>
  <c r="F91" i="7"/>
  <c r="G90" i="7"/>
  <c r="F90" i="7"/>
  <c r="G89" i="7"/>
  <c r="F89" i="7"/>
  <c r="G88" i="7"/>
  <c r="F88" i="7"/>
  <c r="G87" i="7"/>
  <c r="F87" i="7"/>
  <c r="G86" i="7"/>
  <c r="F86" i="7"/>
  <c r="G85" i="7"/>
  <c r="F85" i="7"/>
  <c r="G84" i="7"/>
  <c r="F84" i="7"/>
  <c r="G83" i="7"/>
  <c r="F83" i="7"/>
  <c r="G82" i="7"/>
  <c r="F82" i="7"/>
  <c r="G81" i="7"/>
  <c r="F81" i="7"/>
  <c r="G80" i="7"/>
  <c r="F80" i="7"/>
  <c r="G79" i="7"/>
  <c r="F79" i="7"/>
  <c r="G78" i="7"/>
  <c r="F78" i="7"/>
  <c r="G77" i="7"/>
  <c r="F77" i="7"/>
  <c r="G76" i="7"/>
  <c r="F76" i="7"/>
  <c r="G75" i="7"/>
  <c r="F75" i="7"/>
  <c r="G74" i="7"/>
  <c r="F74" i="7"/>
  <c r="G73" i="7"/>
  <c r="F73" i="7"/>
  <c r="G72" i="7"/>
  <c r="F72" i="7"/>
  <c r="G71" i="7"/>
  <c r="F71" i="7"/>
  <c r="G70" i="7"/>
  <c r="F70" i="7"/>
  <c r="G69" i="7"/>
  <c r="F69" i="7"/>
  <c r="G68" i="7"/>
  <c r="F68" i="7"/>
  <c r="G67" i="7"/>
  <c r="F67" i="7"/>
  <c r="G66" i="7"/>
  <c r="F66" i="7"/>
  <c r="G65" i="7"/>
  <c r="F65" i="7"/>
  <c r="G64" i="7"/>
  <c r="F64" i="7"/>
  <c r="G63" i="7"/>
  <c r="F63" i="7"/>
  <c r="G62" i="7"/>
  <c r="F62" i="7"/>
  <c r="G61" i="7"/>
  <c r="F61" i="7"/>
  <c r="G60" i="7"/>
  <c r="F60" i="7"/>
  <c r="G59" i="7"/>
  <c r="F59" i="7"/>
  <c r="G58" i="7"/>
  <c r="F58" i="7"/>
  <c r="G57" i="7"/>
  <c r="F57" i="7"/>
  <c r="G56" i="7"/>
  <c r="F56" i="7"/>
  <c r="G55" i="7"/>
  <c r="F55" i="7"/>
  <c r="G54" i="7"/>
  <c r="F54" i="7"/>
  <c r="G53" i="7"/>
  <c r="F53" i="7"/>
  <c r="G52" i="7"/>
  <c r="F52" i="7"/>
  <c r="G51" i="7"/>
  <c r="F51" i="7"/>
  <c r="G50" i="7"/>
  <c r="F50" i="7"/>
  <c r="G49" i="7"/>
  <c r="F49" i="7"/>
  <c r="G48" i="7"/>
  <c r="F48" i="7"/>
  <c r="G47" i="7"/>
  <c r="F47" i="7"/>
  <c r="G46" i="7"/>
  <c r="F46" i="7"/>
  <c r="G45" i="7"/>
  <c r="F45" i="7"/>
  <c r="G44" i="7"/>
  <c r="F44" i="7"/>
  <c r="G43" i="7"/>
  <c r="F43" i="7"/>
  <c r="G42" i="7"/>
  <c r="F42" i="7"/>
  <c r="G41" i="7"/>
  <c r="F41" i="7"/>
  <c r="G40" i="7"/>
  <c r="F40" i="7"/>
  <c r="G39" i="7"/>
  <c r="F39" i="7"/>
  <c r="G38" i="7"/>
  <c r="F38" i="7"/>
  <c r="G37" i="7"/>
  <c r="F37" i="7"/>
  <c r="G36" i="7"/>
  <c r="F36" i="7"/>
  <c r="G35" i="7"/>
  <c r="F35" i="7"/>
  <c r="G34" i="7"/>
  <c r="F34" i="7"/>
  <c r="G33" i="7"/>
  <c r="F33" i="7"/>
  <c r="G32" i="7"/>
  <c r="F32" i="7"/>
  <c r="G31" i="7"/>
  <c r="F31" i="7"/>
  <c r="G30" i="7"/>
  <c r="F30" i="7"/>
  <c r="G29" i="7"/>
  <c r="F29" i="7"/>
  <c r="G28" i="7"/>
  <c r="F28" i="7"/>
  <c r="G27" i="7"/>
  <c r="F27" i="7"/>
  <c r="G26" i="7"/>
  <c r="F26" i="7"/>
  <c r="G25" i="7"/>
  <c r="F25" i="7"/>
  <c r="G24" i="7"/>
  <c r="F24" i="7"/>
  <c r="G23" i="7"/>
  <c r="F23" i="7"/>
  <c r="G22" i="7"/>
  <c r="F22" i="7"/>
  <c r="G21" i="7"/>
  <c r="F21" i="7"/>
  <c r="G20" i="7"/>
  <c r="F20" i="7"/>
  <c r="G19" i="7"/>
  <c r="F19" i="7"/>
  <c r="G18" i="7"/>
  <c r="F18" i="7"/>
  <c r="G17" i="7"/>
  <c r="F17" i="7"/>
  <c r="G16" i="7"/>
  <c r="F16" i="7"/>
  <c r="G15" i="7"/>
  <c r="F15" i="7"/>
  <c r="G14" i="7"/>
  <c r="F14" i="7"/>
  <c r="G13" i="7"/>
  <c r="F13" i="7"/>
  <c r="G12" i="7"/>
  <c r="F12" i="7"/>
  <c r="G11" i="7"/>
  <c r="F11" i="7"/>
  <c r="G10" i="7"/>
  <c r="F10" i="7"/>
  <c r="G9" i="7"/>
  <c r="F9" i="7"/>
  <c r="G8" i="7"/>
  <c r="F8" i="7"/>
  <c r="G7" i="7"/>
  <c r="F7" i="7"/>
  <c r="G6" i="7"/>
  <c r="F6" i="7"/>
  <c r="G5" i="7"/>
  <c r="F5" i="7"/>
  <c r="G4" i="7"/>
  <c r="F4" i="7"/>
  <c r="G3" i="7"/>
  <c r="F3" i="7"/>
  <c r="G2" i="7"/>
  <c r="F2" i="7"/>
  <c r="G2" i="6"/>
  <c r="F2" i="6"/>
  <c r="G2" i="5"/>
  <c r="F2" i="5"/>
  <c r="G101" i="4"/>
  <c r="F101" i="4"/>
  <c r="G100" i="4"/>
  <c r="F100" i="4"/>
  <c r="G99" i="4"/>
  <c r="F99" i="4"/>
  <c r="G98" i="4"/>
  <c r="F98" i="4"/>
  <c r="G97" i="4"/>
  <c r="F97" i="4"/>
  <c r="G96" i="4"/>
  <c r="F96" i="4"/>
  <c r="G95" i="4"/>
  <c r="F95" i="4"/>
  <c r="G94" i="4"/>
  <c r="F94" i="4"/>
  <c r="G93" i="4"/>
  <c r="F93" i="4"/>
  <c r="G92" i="4"/>
  <c r="F92" i="4"/>
  <c r="G91" i="4"/>
  <c r="F91" i="4"/>
  <c r="G90" i="4"/>
  <c r="F90" i="4"/>
  <c r="G89" i="4"/>
  <c r="F89" i="4"/>
  <c r="G88" i="4"/>
  <c r="F88" i="4"/>
  <c r="G87" i="4"/>
  <c r="F87" i="4"/>
  <c r="G86" i="4"/>
  <c r="F86" i="4"/>
  <c r="G85" i="4"/>
  <c r="F85" i="4"/>
  <c r="G84" i="4"/>
  <c r="F84" i="4"/>
  <c r="G83" i="4"/>
  <c r="F83" i="4"/>
  <c r="G82" i="4"/>
  <c r="F82" i="4"/>
  <c r="G81" i="4"/>
  <c r="F81" i="4"/>
  <c r="G80" i="4"/>
  <c r="F80" i="4"/>
  <c r="G79" i="4"/>
  <c r="F79" i="4"/>
  <c r="G78" i="4"/>
  <c r="F78" i="4"/>
  <c r="G77" i="4"/>
  <c r="F77" i="4"/>
  <c r="G76" i="4"/>
  <c r="F76" i="4"/>
  <c r="G75" i="4"/>
  <c r="F75" i="4"/>
  <c r="G74" i="4"/>
  <c r="F74" i="4"/>
  <c r="G73" i="4"/>
  <c r="F73" i="4"/>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5" i="4"/>
  <c r="F15" i="4"/>
  <c r="G14" i="4"/>
  <c r="F14" i="4"/>
  <c r="G13" i="4"/>
  <c r="F13" i="4"/>
  <c r="G12" i="4"/>
  <c r="F12" i="4"/>
  <c r="G11" i="4"/>
  <c r="F11" i="4"/>
  <c r="G10" i="4"/>
  <c r="F10" i="4"/>
  <c r="G9" i="4"/>
  <c r="F9" i="4"/>
  <c r="G8" i="4"/>
  <c r="F8" i="4"/>
  <c r="G7" i="4"/>
  <c r="F7" i="4"/>
  <c r="G6" i="4"/>
  <c r="F6" i="4"/>
  <c r="G5" i="4"/>
  <c r="F5" i="4"/>
  <c r="G4" i="4"/>
  <c r="F4" i="4"/>
  <c r="G3" i="4"/>
  <c r="F3" i="4"/>
  <c r="G2" i="4"/>
  <c r="F2" i="4"/>
  <c r="G27" i="2"/>
  <c r="H27" i="2"/>
  <c r="G23" i="2"/>
  <c r="H23" i="2"/>
  <c r="G28" i="2"/>
  <c r="H28" i="2"/>
  <c r="G3" i="2"/>
  <c r="H3" i="2"/>
  <c r="G16" i="2"/>
  <c r="H16" i="2"/>
  <c r="G19" i="2"/>
  <c r="H19" i="2"/>
  <c r="G21" i="2"/>
  <c r="H21" i="2"/>
  <c r="G20" i="2"/>
  <c r="H20" i="2"/>
  <c r="G17" i="2"/>
  <c r="H17" i="2"/>
  <c r="F3" i="3"/>
  <c r="G3" i="3"/>
  <c r="F4" i="3"/>
  <c r="G4" i="3"/>
  <c r="F5" i="3"/>
  <c r="G5" i="3"/>
  <c r="F6" i="3"/>
  <c r="G6" i="3"/>
  <c r="F7" i="3"/>
  <c r="G7" i="3"/>
  <c r="F8" i="3"/>
  <c r="G8" i="3"/>
  <c r="F9" i="3"/>
  <c r="G9" i="3"/>
  <c r="F10" i="3"/>
  <c r="G10" i="3"/>
  <c r="F11" i="3"/>
  <c r="G11" i="3"/>
  <c r="F12" i="3"/>
  <c r="G12" i="3"/>
  <c r="F13" i="3"/>
  <c r="G13" i="3"/>
  <c r="F14" i="3"/>
  <c r="G14" i="3"/>
  <c r="F15" i="3"/>
  <c r="G15" i="3"/>
  <c r="F16" i="3"/>
  <c r="G16" i="3"/>
  <c r="F17" i="3"/>
  <c r="G17" i="3"/>
  <c r="F18" i="3"/>
  <c r="G18" i="3"/>
  <c r="F19" i="3"/>
  <c r="G19" i="3"/>
  <c r="F20" i="3"/>
  <c r="G20" i="3"/>
  <c r="F21" i="3"/>
  <c r="G21" i="3"/>
  <c r="F22" i="3"/>
  <c r="G22" i="3"/>
  <c r="F23" i="3"/>
  <c r="G23" i="3"/>
  <c r="F24" i="3"/>
  <c r="G24" i="3"/>
  <c r="F25" i="3"/>
  <c r="G25" i="3"/>
  <c r="F26" i="3"/>
  <c r="G26" i="3"/>
  <c r="F27" i="3"/>
  <c r="G27" i="3"/>
  <c r="F28" i="3"/>
  <c r="G28" i="3"/>
  <c r="F29" i="3"/>
  <c r="G29" i="3"/>
  <c r="F30" i="3"/>
  <c r="G30" i="3"/>
  <c r="F31" i="3"/>
  <c r="G31" i="3"/>
  <c r="F32" i="3"/>
  <c r="G32" i="3"/>
  <c r="F33" i="3"/>
  <c r="G33" i="3"/>
  <c r="F34" i="3"/>
  <c r="G34" i="3"/>
  <c r="F35" i="3"/>
  <c r="G35" i="3"/>
  <c r="F36" i="3"/>
  <c r="G36" i="3"/>
  <c r="F37" i="3"/>
  <c r="G37" i="3"/>
  <c r="F38" i="3"/>
  <c r="G38" i="3"/>
  <c r="F39" i="3"/>
  <c r="G39" i="3"/>
  <c r="F40" i="3"/>
  <c r="G40" i="3"/>
  <c r="F41" i="3"/>
  <c r="G41" i="3"/>
  <c r="F42" i="3"/>
  <c r="G42" i="3"/>
  <c r="F43" i="3"/>
  <c r="G43" i="3"/>
  <c r="F44" i="3"/>
  <c r="G44" i="3"/>
  <c r="F45" i="3"/>
  <c r="G45" i="3"/>
  <c r="F46" i="3"/>
  <c r="G46" i="3"/>
  <c r="F47" i="3"/>
  <c r="G47" i="3"/>
  <c r="F48" i="3"/>
  <c r="G48" i="3"/>
  <c r="F49" i="3"/>
  <c r="G49" i="3"/>
  <c r="F50" i="3"/>
  <c r="G50" i="3"/>
  <c r="F51" i="3"/>
  <c r="G51" i="3"/>
  <c r="F52" i="3"/>
  <c r="G52" i="3"/>
  <c r="F53" i="3"/>
  <c r="G53" i="3"/>
  <c r="F54" i="3"/>
  <c r="G54" i="3"/>
  <c r="F55" i="3"/>
  <c r="G55" i="3"/>
  <c r="F56" i="3"/>
  <c r="G56" i="3"/>
  <c r="F57" i="3"/>
  <c r="G57" i="3"/>
  <c r="F58" i="3"/>
  <c r="G58" i="3"/>
  <c r="F59" i="3"/>
  <c r="G59" i="3"/>
  <c r="F60" i="3"/>
  <c r="G60" i="3"/>
  <c r="F61" i="3"/>
  <c r="G61" i="3"/>
  <c r="F62" i="3"/>
  <c r="G62" i="3"/>
  <c r="F63" i="3"/>
  <c r="G63" i="3"/>
  <c r="F64" i="3"/>
  <c r="G64" i="3"/>
  <c r="F65" i="3"/>
  <c r="G65" i="3"/>
  <c r="F66" i="3"/>
  <c r="G66" i="3"/>
  <c r="F67" i="3"/>
  <c r="G67" i="3"/>
  <c r="F68" i="3"/>
  <c r="G68" i="3"/>
  <c r="F69" i="3"/>
  <c r="G69" i="3"/>
  <c r="F70" i="3"/>
  <c r="G70" i="3"/>
  <c r="F71" i="3"/>
  <c r="G71" i="3"/>
  <c r="F72" i="3"/>
  <c r="G72" i="3"/>
  <c r="F73" i="3"/>
  <c r="G73" i="3"/>
  <c r="F74" i="3"/>
  <c r="G74" i="3"/>
  <c r="F75" i="3"/>
  <c r="G75" i="3"/>
  <c r="F76" i="3"/>
  <c r="G76" i="3"/>
  <c r="F77" i="3"/>
  <c r="G77" i="3"/>
  <c r="F78" i="3"/>
  <c r="G78" i="3"/>
  <c r="F79" i="3"/>
  <c r="G79" i="3"/>
  <c r="F80" i="3"/>
  <c r="G80" i="3"/>
  <c r="F81" i="3"/>
  <c r="G81" i="3"/>
  <c r="F82" i="3"/>
  <c r="G82" i="3"/>
  <c r="F83" i="3"/>
  <c r="G83" i="3"/>
  <c r="F84" i="3"/>
  <c r="G84" i="3"/>
  <c r="F85" i="3"/>
  <c r="G85" i="3"/>
  <c r="F86" i="3"/>
  <c r="G86" i="3"/>
  <c r="F87" i="3"/>
  <c r="G87" i="3"/>
  <c r="F88" i="3"/>
  <c r="G88" i="3"/>
  <c r="F89" i="3"/>
  <c r="G89" i="3"/>
  <c r="F90" i="3"/>
  <c r="G90" i="3"/>
  <c r="F91" i="3"/>
  <c r="G91" i="3"/>
  <c r="F92" i="3"/>
  <c r="G92" i="3"/>
  <c r="F93" i="3"/>
  <c r="G93" i="3"/>
  <c r="F94" i="3"/>
  <c r="G94" i="3"/>
  <c r="F95" i="3"/>
  <c r="G95" i="3"/>
  <c r="F96" i="3"/>
  <c r="G96" i="3"/>
  <c r="F97" i="3"/>
  <c r="G97" i="3"/>
  <c r="F98" i="3"/>
  <c r="G98" i="3"/>
  <c r="F99" i="3"/>
  <c r="G99" i="3"/>
  <c r="F100" i="3"/>
  <c r="G100" i="3"/>
  <c r="F101" i="3"/>
  <c r="G101" i="3"/>
  <c r="G2" i="3"/>
  <c r="F2" i="3"/>
  <c r="H22" i="2"/>
  <c r="G22" i="2"/>
  <c r="G103" i="31" l="1"/>
  <c r="F103" i="31"/>
  <c r="I13" i="2"/>
  <c r="G29" i="2"/>
  <c r="H29" i="2"/>
  <c r="I6" i="2"/>
  <c r="I4" i="2"/>
  <c r="I14" i="2"/>
  <c r="G103" i="30"/>
  <c r="F103" i="30"/>
  <c r="G103" i="29"/>
  <c r="F103" i="29"/>
  <c r="G103" i="28"/>
  <c r="F103" i="28"/>
  <c r="G103" i="27"/>
  <c r="F103" i="27"/>
  <c r="I11" i="2"/>
  <c r="I9" i="2"/>
  <c r="F103" i="20"/>
  <c r="G103" i="20"/>
  <c r="G103" i="26"/>
  <c r="F103" i="26"/>
  <c r="G103" i="25"/>
  <c r="F103" i="25"/>
  <c r="G103" i="24"/>
  <c r="F103" i="24"/>
  <c r="F103" i="22"/>
  <c r="G103" i="22"/>
  <c r="G103" i="23"/>
  <c r="F103" i="23"/>
  <c r="I7" i="2"/>
  <c r="I12" i="2"/>
  <c r="G103" i="21"/>
  <c r="F103" i="21"/>
  <c r="I18" i="2"/>
  <c r="G103" i="19"/>
  <c r="F103" i="19"/>
  <c r="I21" i="2"/>
  <c r="F103" i="3"/>
  <c r="G103" i="3"/>
  <c r="G103" i="1"/>
  <c r="F103" i="1"/>
  <c r="G103" i="18"/>
  <c r="F103" i="18"/>
  <c r="G103" i="17"/>
  <c r="F103" i="17"/>
  <c r="G103" i="15"/>
  <c r="F103" i="15"/>
  <c r="G103" i="16"/>
  <c r="F103" i="16"/>
  <c r="I19" i="2"/>
  <c r="F103" i="14"/>
  <c r="E103" i="14"/>
  <c r="G103" i="13"/>
  <c r="F103" i="13"/>
  <c r="I8" i="2"/>
  <c r="I26" i="2"/>
  <c r="I2" i="2"/>
  <c r="I5" i="2"/>
  <c r="I24" i="2"/>
  <c r="H103" i="12"/>
  <c r="G103" i="12"/>
  <c r="F103" i="11"/>
  <c r="E103" i="11"/>
  <c r="G103" i="10"/>
  <c r="F103" i="10"/>
  <c r="G103" i="9"/>
  <c r="F103" i="9"/>
  <c r="I16" i="2"/>
  <c r="I28" i="2"/>
  <c r="G103" i="8"/>
  <c r="F103" i="8"/>
  <c r="G103" i="7"/>
  <c r="F103" i="7"/>
  <c r="G103" i="6"/>
  <c r="F103" i="6"/>
  <c r="G103" i="5"/>
  <c r="F103" i="5"/>
  <c r="G103" i="4"/>
  <c r="F103" i="4"/>
  <c r="I23" i="2"/>
  <c r="I17" i="2"/>
  <c r="I27" i="2"/>
  <c r="I20" i="2"/>
  <c r="I3" i="2"/>
  <c r="I22" i="2"/>
  <c r="I29" i="2" l="1"/>
</calcChain>
</file>

<file path=xl/sharedStrings.xml><?xml version="1.0" encoding="utf-8"?>
<sst xmlns="http://schemas.openxmlformats.org/spreadsheetml/2006/main" count="7315" uniqueCount="5381">
  <si>
    <t>text</t>
  </si>
  <si>
    <t>states</t>
  </si>
  <si>
    <t>ISR PSE</t>
  </si>
  <si>
    <t>ARG BRA</t>
  </si>
  <si>
    <t>USA AFG</t>
  </si>
  <si>
    <t>CHN USA</t>
  </si>
  <si>
    <t>RUS UKR</t>
  </si>
  <si>
    <t>KOR USA</t>
  </si>
  <si>
    <t>ISR USA</t>
  </si>
  <si>
    <t>SAU RUS</t>
  </si>
  <si>
    <t>SYR RUS</t>
  </si>
  <si>
    <t>SYR USA</t>
  </si>
  <si>
    <t>BRA USA</t>
  </si>
  <si>
    <t>TUR SYR</t>
  </si>
  <si>
    <t>VEN USA</t>
  </si>
  <si>
    <t>USA CHN</t>
  </si>
  <si>
    <t>VEN COL</t>
  </si>
  <si>
    <t>CHN HKG</t>
  </si>
  <si>
    <t>USA CUB</t>
  </si>
  <si>
    <t>USA CAN</t>
  </si>
  <si>
    <t>RUS USA</t>
  </si>
  <si>
    <t>PAK AFG</t>
  </si>
  <si>
    <t>USA ISR</t>
  </si>
  <si>
    <t>USA BRA</t>
  </si>
  <si>
    <t>DEU TUR</t>
  </si>
  <si>
    <t>BRA ECU</t>
  </si>
  <si>
    <t>CRI NLD</t>
  </si>
  <si>
    <t>CUB USA</t>
  </si>
  <si>
    <t>PRY BRA</t>
  </si>
  <si>
    <t>ARG URY</t>
  </si>
  <si>
    <t>IRN USA</t>
  </si>
  <si>
    <t>ISR SYR</t>
  </si>
  <si>
    <t>NLD TUR</t>
  </si>
  <si>
    <t>USA FRA</t>
  </si>
  <si>
    <t>BRA RUS</t>
  </si>
  <si>
    <t>ISR LBN</t>
  </si>
  <si>
    <t>SYR ISR</t>
  </si>
  <si>
    <t>GBR USA</t>
  </si>
  <si>
    <t>ESP MAR</t>
  </si>
  <si>
    <t>USA POL</t>
  </si>
  <si>
    <t>GBR FRA</t>
  </si>
  <si>
    <t>FRA GBR</t>
  </si>
  <si>
    <t>USA SYR</t>
  </si>
  <si>
    <t>texten</t>
  </si>
  <si>
    <t>FP</t>
  </si>
  <si>
    <t>FN</t>
  </si>
  <si>
    <t>RUS</t>
  </si>
  <si>
    <t>CHE</t>
  </si>
  <si>
    <t>USA</t>
  </si>
  <si>
    <t>GBR</t>
  </si>
  <si>
    <t>media</t>
  </si>
  <si>
    <t>BRA_oglobo</t>
  </si>
  <si>
    <t>sample</t>
  </si>
  <si>
    <t>tags</t>
  </si>
  <si>
    <t>language</t>
  </si>
  <si>
    <t>portuguese</t>
  </si>
  <si>
    <t>precision</t>
  </si>
  <si>
    <t>recall</t>
  </si>
  <si>
    <t>F-value</t>
  </si>
  <si>
    <t xml:space="preserve">EU centrará ataque en Siria a objetivos militares  .  El ataque durará tan sólo unos pocos días y se ejecutará con misiles guiados    </t>
  </si>
  <si>
    <t>USA ITA</t>
  </si>
  <si>
    <t>MEX USA</t>
  </si>
  <si>
    <t>USA MEX</t>
  </si>
  <si>
    <t>COL USA</t>
  </si>
  <si>
    <t>RUS QAT</t>
  </si>
  <si>
    <t>IRN SYR</t>
  </si>
  <si>
    <t>PRK USA</t>
  </si>
  <si>
    <t>UKR RUS</t>
  </si>
  <si>
    <t>USA IRQ</t>
  </si>
  <si>
    <t>USA KOR</t>
  </si>
  <si>
    <t>USA RUS</t>
  </si>
  <si>
    <t>USA PSE</t>
  </si>
  <si>
    <t>AFG USA</t>
  </si>
  <si>
    <t>MEX ARG</t>
  </si>
  <si>
    <t>SAU IRN</t>
  </si>
  <si>
    <t>VAT DEU</t>
  </si>
  <si>
    <t>ARG VEN</t>
  </si>
  <si>
    <t>HKG CHN</t>
  </si>
  <si>
    <t>SAU YEM</t>
  </si>
  <si>
    <t>PSE ISR</t>
  </si>
  <si>
    <t>ISR IRN</t>
  </si>
  <si>
    <t>CAN MEX</t>
  </si>
  <si>
    <t>DEU ARG</t>
  </si>
  <si>
    <t>TUR USA</t>
  </si>
  <si>
    <t>RUS SYR</t>
  </si>
  <si>
    <t>FRA</t>
  </si>
  <si>
    <t>PRK</t>
  </si>
  <si>
    <t>ISR</t>
  </si>
  <si>
    <t>IND</t>
  </si>
  <si>
    <t>PRT</t>
  </si>
  <si>
    <t>SAU</t>
  </si>
  <si>
    <t>MEX_infoma</t>
  </si>
  <si>
    <t>spanish</t>
  </si>
  <si>
    <t>FRA RUS</t>
  </si>
  <si>
    <t>RUS BLR</t>
  </si>
  <si>
    <t>LVA RUS</t>
  </si>
  <si>
    <t>POL RUS</t>
  </si>
  <si>
    <t>USA TUR</t>
  </si>
  <si>
    <t>RUS CHN</t>
  </si>
  <si>
    <t>RUS FRA</t>
  </si>
  <si>
    <t>SWE RUS</t>
  </si>
  <si>
    <t>trad</t>
  </si>
  <si>
    <t>ITA USA</t>
  </si>
  <si>
    <t>DEU USA</t>
  </si>
  <si>
    <t>UKR MYS</t>
  </si>
  <si>
    <t>RUS TUR</t>
  </si>
  <si>
    <t>NOR RUS</t>
  </si>
  <si>
    <t>USA ESP</t>
  </si>
  <si>
    <t>RUS DEU</t>
  </si>
  <si>
    <t>USA VEN</t>
  </si>
  <si>
    <t>BLR RUS</t>
  </si>
  <si>
    <t>DEU RUS</t>
  </si>
  <si>
    <t>ESP RUS</t>
  </si>
  <si>
    <t>GBR RUS</t>
  </si>
  <si>
    <t>USA GBR</t>
  </si>
  <si>
    <t>BGD MMR</t>
  </si>
  <si>
    <t>TUR</t>
  </si>
  <si>
    <t>ITA</t>
  </si>
  <si>
    <t>DEU</t>
  </si>
  <si>
    <t>PSE</t>
  </si>
  <si>
    <t>RUZ_nezgaz</t>
  </si>
  <si>
    <t>russian</t>
  </si>
  <si>
    <t>USA IRN</t>
  </si>
  <si>
    <t>GBR SYR</t>
  </si>
  <si>
    <t>TUR IRQ</t>
  </si>
  <si>
    <t>SYR TUR</t>
  </si>
  <si>
    <t>TUR DEU</t>
  </si>
  <si>
    <t>PRK KOR</t>
  </si>
  <si>
    <t>CHE SRB</t>
  </si>
  <si>
    <t>PSE USA</t>
  </si>
  <si>
    <t>USA SAU</t>
  </si>
  <si>
    <t>USA PAK</t>
  </si>
  <si>
    <t>USA PRK</t>
  </si>
  <si>
    <t>AUS NZL</t>
  </si>
  <si>
    <t>DEU FRA</t>
  </si>
  <si>
    <t>USA UKR</t>
  </si>
  <si>
    <t>SYR GBR</t>
  </si>
  <si>
    <t>SYR IRQ</t>
  </si>
  <si>
    <t>TUR RUS</t>
  </si>
  <si>
    <t>EGY TUR</t>
  </si>
  <si>
    <t>IRQ USA</t>
  </si>
  <si>
    <t>YEM</t>
  </si>
  <si>
    <t>TUR_sabah</t>
  </si>
  <si>
    <t>turkish</t>
  </si>
  <si>
    <t>FRA MLI</t>
  </si>
  <si>
    <t>USA DEU</t>
  </si>
  <si>
    <t>TUN DEU</t>
  </si>
  <si>
    <t>EGY QAT</t>
  </si>
  <si>
    <t>KWT USA</t>
  </si>
  <si>
    <t>EGY USA</t>
  </si>
  <si>
    <t>IRQ SYR</t>
  </si>
  <si>
    <t>TUN MAR</t>
  </si>
  <si>
    <t>ARE</t>
  </si>
  <si>
    <t>MLI</t>
  </si>
  <si>
    <t>EGY_alwafd</t>
  </si>
  <si>
    <t>arabic</t>
  </si>
  <si>
    <t>IRN ITA</t>
  </si>
  <si>
    <t>USA MLI</t>
  </si>
  <si>
    <t>IRN ISR</t>
  </si>
  <si>
    <t>CAN USA</t>
  </si>
  <si>
    <t>IRN TUR</t>
  </si>
  <si>
    <t>IRN BRA</t>
  </si>
  <si>
    <t>FRA USA</t>
  </si>
  <si>
    <t>KOR PRK</t>
  </si>
  <si>
    <t>FRA ITA</t>
  </si>
  <si>
    <t>RUS PRK</t>
  </si>
  <si>
    <t>KWT IRN</t>
  </si>
  <si>
    <t>انتقاد صریح سردار نقدی از سفر روحانی به فرانسه و ایتالیا| این سفر ضربه سنگینی بود  .  همشهری آنلاین:رئیس سازمان بسیج مستضعفین گفت: سفر رئیس جمهور به رم و فرانسه خنجری به پیکر اقتصاد مقا</t>
  </si>
  <si>
    <t>CUB</t>
  </si>
  <si>
    <t>ZAF</t>
  </si>
  <si>
    <t>OMN</t>
  </si>
  <si>
    <t>IRN_hamsha</t>
  </si>
  <si>
    <t>IDN AUS</t>
  </si>
  <si>
    <t>IND CHN</t>
  </si>
  <si>
    <t>GBR CHN</t>
  </si>
  <si>
    <t>MYS UKR</t>
  </si>
  <si>
    <t>ESP NLD</t>
  </si>
  <si>
    <t>USA MCO</t>
  </si>
  <si>
    <t>IDN_republ</t>
  </si>
  <si>
    <t>indonesian</t>
  </si>
  <si>
    <t>PRK JPN</t>
  </si>
  <si>
    <t>JPN USA</t>
  </si>
  <si>
    <t>CHL PER</t>
  </si>
  <si>
    <t>CHN IND</t>
  </si>
  <si>
    <t>CHN PRK</t>
  </si>
  <si>
    <t>CHN JPN</t>
  </si>
  <si>
    <t>ITA JPN</t>
  </si>
  <si>
    <t>USA JPN</t>
  </si>
  <si>
    <t>JPN FRA</t>
  </si>
  <si>
    <t>BRA HRV</t>
  </si>
  <si>
    <t>JPN CHN</t>
  </si>
  <si>
    <t>ARG JPN</t>
  </si>
  <si>
    <t>JPN DEU</t>
  </si>
  <si>
    <t>CHN TWN</t>
  </si>
  <si>
    <t>VAT</t>
  </si>
  <si>
    <t>THA</t>
  </si>
  <si>
    <t>SGP</t>
  </si>
  <si>
    <t>JPN_shikok</t>
  </si>
  <si>
    <t>japanese</t>
  </si>
  <si>
    <t>Lotta, Iran ritira blocco: via libera per atleti Usa a mondiali wrestling  .   La decisione dopo che la Corte d'Appello americana ha bocciato il ricorso del Dipartimento Giustizi</t>
  </si>
  <si>
    <t>Sfuma l'euforia per l'intesa Usa-Cina, Borse deboli  .   Lo spread stabile sotto 270 in vista dell'asta di Bot del Tesoro. Continua il forte calo del petrol</t>
  </si>
  <si>
    <t>ITA ESP</t>
  </si>
  <si>
    <t>CHN DEU</t>
  </si>
  <si>
    <t>USA YEM</t>
  </si>
  <si>
    <t>FRA DEU</t>
  </si>
  <si>
    <t>BRA ESP</t>
  </si>
  <si>
    <t>LBY ITA</t>
  </si>
  <si>
    <t>CHN ITA</t>
  </si>
  <si>
    <t>COD AGO</t>
  </si>
  <si>
    <t>ITA ARG</t>
  </si>
  <si>
    <t>ESP ITA</t>
  </si>
  <si>
    <t>ALB SRB</t>
  </si>
  <si>
    <t>HRV ITA</t>
  </si>
  <si>
    <t>DEU MCO</t>
  </si>
  <si>
    <t>GRC REU</t>
  </si>
  <si>
    <t>JPN</t>
  </si>
  <si>
    <t>REU</t>
  </si>
  <si>
    <t>ITA_repubb</t>
  </si>
  <si>
    <t>italian</t>
  </si>
  <si>
    <t>USA JEY</t>
  </si>
  <si>
    <t>FRA ESP</t>
  </si>
  <si>
    <t>IRL GBR</t>
  </si>
  <si>
    <t>MDA RUS</t>
  </si>
  <si>
    <t>CHN RUS</t>
  </si>
  <si>
    <t>FRA MCO</t>
  </si>
  <si>
    <t>NER NGA</t>
  </si>
  <si>
    <t>MYT COM</t>
  </si>
  <si>
    <t>MCO FRA</t>
  </si>
  <si>
    <t>PAK IND</t>
  </si>
  <si>
    <t>AFG PAK</t>
  </si>
  <si>
    <t>SYR YEM</t>
  </si>
  <si>
    <t>FRA TUN</t>
  </si>
  <si>
    <t>LBN SYR</t>
  </si>
  <si>
    <t>FRA_lmonde</t>
  </si>
  <si>
    <t>french</t>
  </si>
  <si>
    <t>UGA USA</t>
  </si>
  <si>
    <t>VAT ITA</t>
  </si>
  <si>
    <t>CAN CHN</t>
  </si>
  <si>
    <t>USA SOM</t>
  </si>
  <si>
    <t>CAN RUS</t>
  </si>
  <si>
    <t>THA USA</t>
  </si>
  <si>
    <t>YEM USA</t>
  </si>
  <si>
    <t>CAN JPN</t>
  </si>
  <si>
    <t>TUR GRC</t>
  </si>
  <si>
    <t xml:space="preserve">Israelis are in impossible predicament regarding Gaza  .  Israel cannot exercise its inalienable and internationally recognized right to self-defence without </t>
  </si>
  <si>
    <t>USA IND</t>
  </si>
  <si>
    <t>CHN GBR</t>
  </si>
  <si>
    <t>IND PAK</t>
  </si>
  <si>
    <t>YEM CHE</t>
  </si>
  <si>
    <t>CHL</t>
  </si>
  <si>
    <t>CAN_tostar</t>
  </si>
  <si>
    <t>english</t>
  </si>
  <si>
    <t xml:space="preserve">&amp;#8220;سولكينغ&amp;#8221; يلغي حفلته اليوم في جربة بتونس ويحضر لجولة بكوسوفو  .  بعد نجاح جولته الفنية التي قادته إلى عدة مدن تونسية، ألغى مغني الراب الجزائري &amp;#8220;سولكينغ&amp;#8221; </t>
  </si>
  <si>
    <t>TUN LBY</t>
  </si>
  <si>
    <t>YEM SAU</t>
  </si>
  <si>
    <t>JOR SYR</t>
  </si>
  <si>
    <t xml:space="preserve">« Solking » Il annule son concert prévu aujourd’hui à Djerba, en Tunisie, et se prépare pour une tournée au Kosovo. Après le succès de sa tournée artistique qui l’a conduit dans plusieurs villes tunisiennes, le rappeur algérien « Solking » </t>
  </si>
  <si>
    <t>MAR</t>
  </si>
  <si>
    <t>TUN</t>
  </si>
  <si>
    <t>SYR</t>
  </si>
  <si>
    <t>DZA_alnaha</t>
  </si>
  <si>
    <t>Corea del Norte amenaza con romper el acuerdo de diálogo con Corea del Sur  .  Corea del Norte ha amenazado este martes con «volver a la confrontación» al acusar a Corea del Sur d</t>
  </si>
  <si>
    <t xml:space="preserve">Desaparecen cinco empleados de una editorial china crítica  .  La desaparición en Hong Kong el pasado 30 de diciembre de Lee Bo, accionista de la editorial Mighty </t>
  </si>
  <si>
    <t>PHL IDN</t>
  </si>
  <si>
    <t>ESP PRT</t>
  </si>
  <si>
    <t>SYR CHE</t>
  </si>
  <si>
    <t>CUB VEN</t>
  </si>
  <si>
    <t>GRC DEU</t>
  </si>
  <si>
    <t>ESP FRA</t>
  </si>
  <si>
    <t>PRT ESP</t>
  </si>
  <si>
    <t>COL VEN</t>
  </si>
  <si>
    <t>ESP SYR</t>
  </si>
  <si>
    <t>GIB ESP</t>
  </si>
  <si>
    <t>USA VNM</t>
  </si>
  <si>
    <t>ESP ECU</t>
  </si>
  <si>
    <t>UKR USA</t>
  </si>
  <si>
    <t>FRA UKR</t>
  </si>
  <si>
    <t>FRA SYR</t>
  </si>
  <si>
    <t>La Corée du Nord menace de rompre l'accord de dialogue avec la Corée du Sud  .  La Corée du Nord a menacé ce mardi de « revenir à la confrontation » en accusant la Corée du Sud de</t>
  </si>
  <si>
    <t xml:space="preserve">Cinq employés d’une maison d’édition chinoise critique ont disparu  .  La disparition à Hong Kong, le 30 décembre dernier, de Lee Bo, actionnaire de la maison d’édition Mighty </t>
  </si>
  <si>
    <t>IRN</t>
  </si>
  <si>
    <t>AUS</t>
  </si>
  <si>
    <t>ESP_abc</t>
  </si>
  <si>
    <t>UKR BLR</t>
  </si>
  <si>
    <t>UKR PSE</t>
  </si>
  <si>
    <t>UKR DEU</t>
  </si>
  <si>
    <t>SAU USA</t>
  </si>
  <si>
    <t>RUS MEX</t>
  </si>
  <si>
    <t>RUS GRC</t>
  </si>
  <si>
    <t>UKR POL</t>
  </si>
  <si>
    <t>UKR_fakty</t>
  </si>
  <si>
    <t>CHN VNM</t>
  </si>
  <si>
    <t>IND BGD</t>
  </si>
  <si>
    <t>CHN PAK</t>
  </si>
  <si>
    <t>TWN CHN</t>
  </si>
  <si>
    <t>PAK USA</t>
  </si>
  <si>
    <t>PAK LKA</t>
  </si>
  <si>
    <t>MYS CHN</t>
  </si>
  <si>
    <t>IND_tindia</t>
  </si>
  <si>
    <t>NLD BRA</t>
  </si>
  <si>
    <t>IRN GBR</t>
  </si>
  <si>
    <t>CHE TUN</t>
  </si>
  <si>
    <t>فريق روسي من 18 موظفا في تركيا للتحقيق في اغتيال السفير كارلوف  .  أعلن المتحدث باسم الرئاسة الروسية دميتري بيسكوف، اليوم الثلاثاء، أن فريقا روسيا يتكون من 18 موظفا من</t>
  </si>
  <si>
    <t>أمريكا تسمح لعائلات الدبلوماسيين في انقرة بمغادرة تركيا  .  منحت الولايات المتحدة، لعائلات طاقمها الدبلوماسي في العاصمة التركية أنقرة، الإذن بمغادرة تركيا في أع</t>
  </si>
  <si>
    <t>ألمانيا والسويد تؤكدان التحاق نحو 850 مواطنا بصفوف "داعش"  .  أعرب رئيس الاستخبارات السويدية أندرز ثومبرغ عن اعتقاده بأن نحو 300 سويدي انضموا إلى صفوف تنظيم "الدو</t>
  </si>
  <si>
    <t>الكاف: المنافسة تنحصر بين غانا وجنوب إفريقيا حال انسحاب المغرب  .  استقر الاتحاد الإفريقي لكرة القدم (الكاف) على دولتي غانا وجنوب إفريقيا لتكون لاستضافة نهائيات كأس ال</t>
  </si>
  <si>
    <t>ماكين: واشنطن في دعم مستمر للبيشمركة ضد الإرهاب  .  أكد السيناتور الأمريكي جون ماكين خلال زيارته لإقليم كردستان العراق السبت 27 ديسمبر دعم ومساندة الولا</t>
  </si>
  <si>
    <t>البيت الأبيض: سنفرض عقوبات إضافية على إيران الأسبوع القادم  .  قالت المتحدثة باسم البيت الأبيض، سارة ساندرز، بأن أمريكا تعد لفرض عقوبات إضافية على إيران بداية الأس</t>
  </si>
  <si>
    <t>جرح عشرات المدنيين واثنين من "القبعات الزرق" في هجوم على قاعدتهم في جنوب السودان  .   اعلنت الامم المتحدة ان عشرات المدنيين من اهالي جنوب السودان واثنين من عناصر القوة التابعة للامم الم</t>
  </si>
  <si>
    <t>40قتيلا و6 جرحى في غارة جوية أمريكية على ليبيا  .  قُتل 40 شخصا وجرح آخرين في غارة للطيران الأمريكي على مدينة صبراتة الليبية استهدفت موقعا لتنظيم &amp;laqu</t>
  </si>
  <si>
    <t>تصويت فرنسي "رمزي" على الاعتراف بفلسطين  .  قال الحزب الاشتراكي الحاكم في فرنسا، اليوم، إن الجمعية الوطنية (البرلمان)، ستصوت في 28 نوفمبر الجاري</t>
  </si>
  <si>
    <t>فرنسا بطلة العالم بكرة اليد على حساب قطر  .  أحرز منتخب فرنسا بطولة العالم لكرة اليد بفوزه على نظيره القطري 25-22 (الشوط الاول 14-11) في المباراة</t>
  </si>
  <si>
    <t>الإمارات تعرب عن استعدادها لإرسال قوات برية إلى سوريا  .  أعربت الإمارات عن استعدادها لإرسال قوات برية إلى سوريا لمحاربة تنظيم "الدولة الإسلامية" في إطار التح</t>
  </si>
  <si>
    <t>أستراليا وكندا لن يشاركا في أولمبياد “طوكيو” ومَطالب بتأجيل المنافسة !  .  كشفت صحيفة &amp;#8220;آس&amp;#8221; الإسبانية، أن كل من كندا وأستراليا لن يشاركا في أولمبياد طوكيو 2020 ومطا</t>
  </si>
  <si>
    <t>روحاني يؤكد مجددا وقوف إيران إلى جانب سوريا  .   أكد الرئيس الايراني حسن روحاني وقوف إيران إلى جانب سورية في محاربتها للإرهاب، وذلك خلال اتصاله بالر</t>
  </si>
  <si>
    <t>إيران تدين الهجمات التي نفذتها جماعة بوكو حرام في نيجيريا  .  أدانت إيران اليوم الاحد الهجمات الأخيرة التي نفذتها جماعة "بوكو حرام" المتطرفة في نيجيريا ،وأسفرت عن</t>
  </si>
  <si>
    <t>كيري: أكثر من 10 دول مستعدة لضرب سوريا  .   أعلن وزير الخارجية الأميركي جون كيري السبت أن العديد من الدول مستعدة للمشاركة في ضربات عسكرية تقوده</t>
  </si>
  <si>
    <t>تركيا تتعهد اليونان بإلغاء إتفاق المهاجرين لهذا السبب  .  تعهدت الحكومة التركية، أمس الجمعة، بإلغاء إتفاق إعادة قبول المهاجرين، ردا على قرار المحكمة اليونانية</t>
  </si>
  <si>
    <t>إيكبيبا يحذر الجزائر والسنغال من المنتخب الكيني  .  حذر الدولي النيجيري السابق، فيكتور إكبيبا، المنتخب الجزائري، ونظيره السنغالي، من منتخب كينيا، منافسه</t>
  </si>
  <si>
    <t xml:space="preserve">مقتل شخص في هجوم مسلح على السفارة الإسرائيلية بتركيا  .  ذكرت قناة روسيا اليوم، صباح اليوم أن هجوما مسلحا استهدف السفارة الإسرائيلية في أنقرة بتركيا ما أسفر </t>
  </si>
  <si>
    <t>كندا وأمريكا تتفقان على تمديد حظر السفر غير الضروري بين البلدين 30 يوما  .  قال، اليوم الثلاثاء، رئيس الوزراء الكندي، جاستن ترودو، أن بلاده والولايات المتحدة اتفقتا على تمديد ح</t>
  </si>
  <si>
    <t xml:space="preserve">الكرملين يصف إسقاط تركيا للطائرة الروسية بالأمر الخطير  .  صرح، اليوم الثلاثاء، الكرملين أن اسقاط الطيران التركي مقاتلة روسية على الحدود بين سوريا وتركيا حادث </t>
  </si>
  <si>
    <t xml:space="preserve">مقتل 3 فلسطينيين في قصف مدفعي إسرائيلي على شمال قطاع غزة  .  قتل ثلاثة شباب فلسطينيين صباح الجمعة في قصف مدفعي إسرائيلي شمال قطاع غزة، &amp;nbsp;بحسب ما أعلنت وزارة </t>
  </si>
  <si>
    <t>اتحاد المغرب العربي يراسل بوتفليقة من أجل مونديال 2030  .  من أجل الشروع في التنسيق لملف مشترك لمنافسة الأورغواي والأرجنتين والبارغواي راسل اتحاد المغرب العربي</t>
  </si>
  <si>
    <t>راسموسن: الناتو لا يبحث في أي رد عسكري ضد خطوات روسيا في أوكرانيا  .  أكد الأمين العام لحلف شمال الأطلسي أندرس فوغ راسموسن أن الناتو لا يبحث في أي رد عسكري على خطوات روسي</t>
  </si>
  <si>
    <t>أسود الكاميرون تنجو من فخ مالي  .  تعادلت الكاميرون مع مالي 1-1 اليوم ، في المباراة التي جمعت بينهما &amp;nbsp;اليوم في مالابو في الجولة ال</t>
  </si>
  <si>
    <t xml:space="preserve">واشنطن تقلص عدد أفراد بعثتها الدبلوماسية في العراق لضرورات أمنية  .  أجْلت الولايات المتحدة جزء من موظفي سفارتها في بغداد ومن قنصليتها العامة في أربيل ونقلتهم إلى مدينة </t>
  </si>
  <si>
    <t xml:space="preserve">فرنسا تعلق توريد أول سفينة "ميسترال" إلى روسيا  .  أعلن الرئيس الفرنسي، فرانسوا هولاند ،اليوم ، عن تعليق توريد السفينة الحربية الأولى من نوع "ميسترال" </t>
  </si>
  <si>
    <t xml:space="preserve">أوباما يدعو لاجئا سوريا لحضور خطابه عن حال الاتحاد  .  دعا الرئيس الأمريكي باراك أوباما اللاجئ السوري رفاعي حمو لحضور خطابه السنوي الأخير عن حال "الاتحاد" </t>
  </si>
  <si>
    <t xml:space="preserve">سويسرا تعيد 40 مليون دولار لتونس  .   قررت سويسرا إعادة نحو 40 مليون دولار إلى تونس، كانت جمدتها من حسابات أحد المقربين من الرئيس السابق </t>
  </si>
  <si>
    <t>اكتشاف مقابر جماعية لـ470 جندي عراقي أعدمهم داعش في تكريت  .  الأوضاع الأمنية في العراق وسوريا لا تبشر بالخير بعد سيطرة مقاتلي تنظيم الدولة الإسلامية "داعش" على م</t>
  </si>
  <si>
    <t>نيجيريا والسعودية يفضحان ماجر !  .  ظهر المنتخب النيجيري لكرة القدم بمستوى كارثي خلال اللقاء الأول من نهائيات كأس العالم أمام المنتخب ال</t>
  </si>
  <si>
    <t>غوركوف بكوتونو لمشاهدة مباراة البنين-مالاوي  .  يتواجد المدرب الجديد للمنتخب الجزائري لكرة القدم, الفرنسي كريستيان غوركوف,&amp;nbsp; بالعاصمة البنينية ك</t>
  </si>
  <si>
    <t>هيلاري كلينتون تتسلم بلندن جائزة  المعهد الملكي للشؤون الدولية  .  تسلمت وزيرة الخارجية الأمريكية هيلاري كلينتون &amp;nbsp;مساء امس &amp;nbsp;الجمعة في لندن جائزة &amp;nbsp;المعهد</t>
  </si>
  <si>
    <t>اتحاد دول أمريكا الجنوبية يؤكد دعمه لفنزويلا أمام العقوبات الأمريكية  .  أعرب اتحاد دول أمريكا الجنوبية (أوناسور) عن دعمه لفنزويلا أمام العقوبات الجديدة التي فرضتها عليها ال</t>
  </si>
  <si>
    <t xml:space="preserve">توج المنتخب التونسي على حساب جمهورية الكونغو الديمقراطية (23-20) كاس افريقيا للامم سيدات  .  توج المنتخب التونسي لكرة اليد (سيدات), اليوم بقاعة حرشة حسان (الجزائر), بلقب كأس افريقيا للأمم-2014 </t>
  </si>
  <si>
    <t>واشنطن تدين استمرار الاستيطان في الضفة الغربية المحتلة  .  دانت اليوم ،الولايات المتحدة الأمركية &amp;nbsp;، المشروع الاسرائيلي لبناء 450 وحدة استيطانية جديدة في ا</t>
  </si>
  <si>
    <t xml:space="preserve">الكمامة إجبارية في إسبانيا حتى ظهور لقاح لكورونا!  .  أعلن وزير الصحة في إسبانيا، سلفادور إيلا، أمس الثلاثاء، أن وضع كمامة في الأماكن العامة سيظل إلزاميا </t>
  </si>
  <si>
    <t>الدنمارك تقرر سحب قواتها الخاصة من العراق  .  قررت الدنمارك، سحب قواتها الخاصة من الأراضي العراقية إثر تحرير معظم المناطق من تنظيم  داعش الإرهابي.</t>
  </si>
  <si>
    <t>هروب المصور مارتسين سودر من خاطفيه في سوريا ويعود إلى بلاده بولندا  .  اعلن وزير الخارجية البولندي رادوسلاف سيكورسكي اليوم الخميس، ان المصور البولندي مارتسين سودر الذي خطف</t>
  </si>
  <si>
    <t>الرئيس الايراني يستقبل العربي ولد خليفة  .  استقبل رئيس المجلس الشعبي الوطني، محمد العربي ولد خليفة، اليوم الأحد، بفنزويلا من قبل الرئيس الإيران</t>
  </si>
  <si>
    <t>عودة المغرب للإتحاد الإفريقي لن يؤثر على وضع الصحراء الغربية  .  نفى وزير الشؤون المغاربية والاتحاد الإفريقي وجامعة الدول العربية عبد القادر مساهل، أن تكون عودة المغ</t>
  </si>
  <si>
    <t xml:space="preserve">أمريكا تقرر تمديد الترخيص لشركة &amp;#8220;هواوي&amp;#8221;  .  قررت وزارة التجارة الأمريكية تمديد الترخيص الممنوح لشركة الاتصالات الصينية &amp;#8220;هواوي&amp;#8221; لمدة </t>
  </si>
  <si>
    <t>خمسة لاعبي كرة قدم ينضمون لتنظيم الدولة الإسلامية  .  إلتحق خمسة من لاعبي كرة القدم البرتغالية بصفوف  تنظيم الدولة الإسلامية في العراق والشام.</t>
  </si>
  <si>
    <t>صحف اسبانية وبريطانية تتهم حيمودي بارتكاب الأخطاء في المباراة الترتيبية بين هولندا والبرازيل  .  أعلنت كل صحيفتي "ماركا" و "أس" الإسبانيتين وصحيفة "دايلي ميل" البريطانية، أن ضربة الجزاء التي أعلنها</t>
  </si>
  <si>
    <t>50 إيطاليًّا يقاتلون ضمن صفوف داعش فى العراق وسوريا  .  قال موقع ريا الروسى إن ما لا يقل عن 50 إيطاليًّا تترواح أعمارهم بين 18 و25 عاما انضموا للقتال فى الج</t>
  </si>
  <si>
    <t>بالفيديو .. الاحتلال يهدم منازل 3 فلسطينيين في الضفة الغربية  .  هدم الجيش الإسرائيلي منازل ثلاثة فلسطينيين، نفذوا هجوما أودى بحياة مجندة إسرائيلية ، في قباطية في ال</t>
  </si>
  <si>
    <t>برلمان تونس يصوت لصالح نقل الغاز الجزائري نحو إيطاليا مرورا بتونس  .  صادق مجلس نواب الشعب التونسي، اليوم الأربعاء على مشروع قانون يتعلق بنقل الغاز الطبيعي الجزائري المصد</t>
  </si>
  <si>
    <t xml:space="preserve">الفريق أحمد قايد صالح في زيارة إلى الإمارات العربية المتحدة وقطر  .  &amp;nbsp;يقوم نائب وزير الدفاع الوطني&amp;nbsp;رئيس أركان الجيش الوطني الشعبي الفريق أحمد قايد صالح, اليوم </t>
  </si>
  <si>
    <t>اتفاق روسي أمريكي لتسوية الوضع الأمني في سوريا  .  كشفت وسائل إعلامية، اليوم الجمعة، عن مصدر دبلوماسي لم يذكر اسمه، أنه تم إجراء إتفاق بين روسيا و الول</t>
  </si>
  <si>
    <t>تونس تتفاوض مع ايطاليا والبرتغال وبروكسل بخصوص تظاهرة دبي 2020  .  يواصل رئيس الجمهورية التونسية الباجي القائد السبسي تكثيف زياراته الرسمية إلى عدة دول بعد لقاءه الأخي</t>
  </si>
  <si>
    <t xml:space="preserve">القضاء على 10 مسلحين أكراد إثر قصف تركي في تركيا والعراق  .  أعلن مصدر أمني تركي، اليوم الاربعاء، أن طائرات حربية تركية قصفت أهدافا لمسلحي حزب العمال الكردستاني </t>
  </si>
  <si>
    <t>إصابة شخص إثر سقوط مقذوف عسكري من الأراضي اليمنية على جنوب السعودية  .  أصيب شخص جنوب المملكة العربية السعودية، نتيجة سقوط مقذوف عسكري من الأراضي اليمنية على مستوصف طبي بمن</t>
  </si>
  <si>
    <t xml:space="preserve">حارس منتخب السيشل يثير السخرية !!  .  أثار الحارس الأساسي لمنتخب السيشل، اليوم السبت، تعجب متابعي المباراة التي شارك فيها أمام نيجيريا في </t>
  </si>
  <si>
    <t>تايدر يقرر مغادرة بولونيا ويفاضل بين تركيا وألمانيا  .  يتجه الدولي الجزائري السابق سفير تايدر، نحوى مغادرة فريقه بولونيا، خلال الميركاتو الشتوي الداخل، بحث</t>
  </si>
  <si>
    <t>فرنسا توقف سلفيا تونسيا متهم بتجنيد مقاتلين للمعارضة السورية  .  أوقفت الشرطة الفرنسية في غرونوبل جنوب شرق فرنسا شابا سلفيا تونسي الأصل يشتبه في كونه يجند مقاتلين لل</t>
  </si>
  <si>
    <t>صحيفة أمريكية: إسرائيل تلقت أسلحة من البنتاغون دون موافقة أوباما  .  كشفت صحيفة "وول ستريت جورنال" الأمريكية أن إسرائيل تلقت في شهر جويلية الماضي أسلحة من وزارة الدفاع ا</t>
  </si>
  <si>
    <t xml:space="preserve">السامبريرو والشاشية التونسية حاضران بقوة في مونديال روسيا  .  شهدت الساحة الحمراء بالعاصمة الروسية موسكو، حضورا قويا للسامبريرو المكسيكي والشاشية التونسية . وقال </t>
  </si>
  <si>
    <t>رونالدو لقاض إسباني: "لو لم أكن كريستيانو.. لما كنت هنا"  .  أثار النجم البرتغالي "كريستيانو رونالدو"، اليوم الإثنين، لغطا عارما حين خاطب قاضيا إسبانيا بقوله: "ل</t>
  </si>
  <si>
    <t>الاتحاد الاوروبي قد يدعو الى قمة لتشديد العقوبات على روسيا الاسبوع المقبل  .   اعلن وزير خارجية فرنسا لوران فابيوس ان الاتحاد الاوروبي مستعد في حال الضرورة للدعوة الى قمة ازمة حو</t>
  </si>
  <si>
    <t>إسرائيل تفتح معبر كرم أبو سالم لإدخال بضائع ومساعدات إلى قطاع غزة  .  ذكرت تقارير فلسطينية أنه تم صباح اليوم الأحد فتح معبر كرم أبو سالم التجارى جنوب شرق مدينة رفح، لإدخا</t>
  </si>
  <si>
    <t>إعلان الطوارئ على متن رحلة جوية متجهة من لندن إلى كندا  .  أطلق قائدو طائرة بوينغ 767، مكالمة طوارئ خلال الرحلة التي غادرت لندن متجهة إلى كندا.وأوضحت صحيفة دي</t>
  </si>
  <si>
    <t>الاتحاد الاوروبي يحض المتمردين الكونغوليين على تسليم سلاحهم  .   ندد الاتحاد الاوروبي بتجدد المعارك حول غوما في شرق جمهورية الكونغو الديموقراطية، وشدد على "الحاجة ا</t>
  </si>
  <si>
    <t>العثورعلى مئات القتلى في بلدة نيجيرية  .  سيطرت قوات تشادية على بلدة ديكاوا شمال شرقي نيجيريا، التي كانت خاضعة لهيمنة جماعة "بوكو حرام"، حيث ت</t>
  </si>
  <si>
    <t>مسلحون يختطفون جنديا لبنانيا قرب سوريا  .  خطف مسلحون على الحدود اللبنانية السورية، الأربعاء، جنديا لبنانيا من بلدة عرسال التي خطف فيها متشددون</t>
  </si>
  <si>
    <t>كيري يطرح على إسرائيل افكارا لتحسين أمنها في أي اتفاق مع الفلسطينيين  .   قال وزير الخارجية الأمريكي جون كيري يوم الخميس إنه تم إحراز بعض التقدم في المحادثات بين الفلسطينيين</t>
  </si>
  <si>
    <t>&amp;#8220;الأثار في الصحراء الغربية&amp;#8221; في كتاب جديد ببريطانيا  .  أصدرت دار النشر البريطانية &amp;#8220;أوكسبو بووكس، أوكسفورد&amp;#8221; كتابا بعنوان &amp;#8220;الأثار في الصحرا</t>
  </si>
  <si>
    <t>فنزويلا تعزم الخروج من منظمة الدول الأمريكية  .  أكد وزير الخارجية الفنزويلي، ديلسي روريجيز، أمس الأربعاء، أن بلاده ستخرج من منظمة الدول الأمريكية.</t>
  </si>
  <si>
    <t>سيف اليزل: مصر لن تشارك بوحدات برية أو جوية فى القتال ضد داعش  .  قال اللواء سامح سيف اليزل، رئيس مركز الجمهورية للدراسات السياسية والاستراتيجية، إن وجود تركيا أو إير</t>
  </si>
  <si>
    <t>فرنسا تُرسل وحدة من القوات الخاصة إلى مالي  .  اكد وزير الدفاع الفرنسي إن وحدة من القوات الخاصة الفرنسية موجودة في الفندق الذي يحتجز مسلحون رهائن ب</t>
  </si>
  <si>
    <t>مشاورات جزائرية - تونسية لبعث اتحاد عمال المغرب العربي  .  أكد الأمين العام للاتحاد العام التونسي للشغل، نورالدين الطبوبي، اليوم الخميس، بالجزائر على أهمية وضع</t>
  </si>
  <si>
    <t>وزارة الدفاع الأمريكية تعرب عن قلقها من نشاطات التجسس الروسية بالقرب من خليج المكسيك  .   قالت وزارة الدفاع الامريكية (البنتاغون) ان سفينتي تجسس روسيتين تعملان خارج الساحل الشرقي للولايات ا</t>
  </si>
  <si>
    <t xml:space="preserve">المغرب يعارض الزيارة المقبلة لبان كيمون إلى الصحراء الغربية  .  &amp;nbsp;تعمل الحكومة المغربية على منع زيارة الأمين العام لمنظمة الأمم المتحدة إلى الصحراء الغربية على </t>
  </si>
  <si>
    <t>واشنطن ترفض طرد دبلوماسييها من كراكاس  .  رفضت الولايات المتحدة، الاثنين، اتهامات فنزويلا لها بمساعدة المتظاهرين المناهضين للحكومة، وقالت إن ا</t>
  </si>
  <si>
    <t>القرضاوى يغادر مصر متوجهًا إلى قطر  .   غادر القاهرة مساء اليوم الأربعاء، الشيخ يوسف القرضاوى رئيس الاتحاد العالمى لعلماء المسلمين عائدا إل</t>
  </si>
  <si>
    <t>أسعار النفط ترتفع بعد موافقة أمريكا إجراء محادثات مع روسيا  .  سجلت أسعار النفط، اليوم الثلاثاء، إرتفاعا نسبيا مباشرة بعد إعلان أمريكا موافقتها بإجراء محادثات مع ر</t>
  </si>
  <si>
    <t xml:space="preserve">أمريكا: مستقبل أفغانستان يعتمد على القوات الاجنبية  .   قال القائد الأمريكي للقوات التي يقودها حلف شمال الاطلسي في أفغانستان إن المستقبل الامني لهذا البلد </t>
  </si>
  <si>
    <t>خلاف بين دنيا بطمة وزوجها محمد الترك يثير الجدل  .  ألغت الفنانة المغربية، دنيا بطمة، متابعة زوجها ومدير أعمالها البحريني، المنتج محمد الترك، على موقع ت</t>
  </si>
  <si>
    <t>المغرب يقلص البعثة الأممية للصحراء الغربية  .  قام المغرب بتقليص حجم الموظفين المدنيين العاملين في إطار بعثة الأمم المتحدة إلى الصحراء الغربية مينو</t>
  </si>
  <si>
    <t>فلسطينية تختطف ابنها وتهربه بجواز سفر فرنسي صادر عن قنصلية فرنسا في دبي  .  انتقمت من طليقها بعد حصوله على حضانة ابنه مباشرة بعد الخلع أيدت محكمة سيدي امحمد الأمر بالقبض الدولي</t>
  </si>
  <si>
    <t>جنوب السودان معارك عنيفة في ولايتين  .  قال جيش جنوب السودان إن متمردين هاجموا مدناً في ولايتين، الثلاثاء، مما أدى إلى اندلاع معارك عنيفة.وق</t>
  </si>
  <si>
    <t>أميركا تعيد لوحة مسروقة لبيكاسو إلى فرنسا  .  أعادت السلطات الأميركية، لوحة لا كوافيز، المسروقة للفنان بابلو بيكاسو، والتي تقدر قيمتها بنحو 15 ملي</t>
  </si>
  <si>
    <t>رئيس جنوب السودان يعيد تشكيل الحكومة بعد أقل من أسبوع من إعلانها  .   &amp;nbsp;أصدر سلفا كير ميارديت رئيس جمهورية جنوب السودان مساء أمس الأحد قرارا بإعادة تشكيل الحكومة الت</t>
  </si>
  <si>
    <t xml:space="preserve">شرطيان وسمساران من ليبيا وموريتانيا ضمن شبكة لنهب أموال محترفي صرف العملة  .  محكمة الجنايات بالدار البيضاء فتحت ملف آخر عنصر فيها كان في حالة فرار تمكنت مصالح الأمن في العاصمة، </t>
  </si>
  <si>
    <t>القبض على 10 أشخاص يجندون مقاتلين لداعش في إسبانيا والمغرب  .  أعلنت وزارة الداخلية الإسبانية اليوم، توقيف 10 أشخاص في إسبانيا والمغرب للاشتباه بسعيهم إلى تجنيد مق</t>
  </si>
  <si>
    <t xml:space="preserve">كوريا الشمالية تجري مناورات قرب الحدود الكورية الجنوبية  .  بدأت بيونغ يانغ، اليوم ، إجراء مناورات عسكرية في البحر الأصفر قرب الحدود البحرية مع كوريا الجنوبية، </t>
  </si>
  <si>
    <t xml:space="preserve">ميركل تقوم بجولة إفريقية تشمل بوركينا فاسو ومالي والنيجر  .  تجري المستشارة الألمانية، أنغيلا ميركل، جولة في غرب إفريقيا تشمل بوركينا فاسو ومالي والنيجر، إبتداء </t>
  </si>
  <si>
    <t>دولة عربية ترحب بالضربة الأمريكية لقاعدة جوية عسكرية سورية  .  أدانت العديد من الدول الضربة الجوية الأمريكية التي استهدفت مطار عسكري في سوريا،فيما عبرت دول أخرى عن</t>
  </si>
  <si>
    <t xml:space="preserve">توجيه اتهام إلى فلسطينيتين إثر مشاركتهما فى تظاهرة سلمية  .   وجهت محكمة عسكرية إسرائيلية فى شكل رسمى، الثلاثاء، اتهاما إلى فلسطينيتين شاركتا فى تظاهرة سلمية مع </t>
  </si>
  <si>
    <t xml:space="preserve">تركيا دمرت ضريح سليمان شاه لحمايته من تهديدات داعش  .  أعلنت انقرة الاثنين 23 فيفري أن نقل جثمان سليمان شاه من شمال سوريا وتدمير قوة تركية خاصة للضريح جاء </t>
  </si>
  <si>
    <t>السعيد شنقريحة يستقبل التعازي من قادة جيوش مصر وقطر  .  تلقى رئيس أركان الجيش بالنيابة السعيد شنقريحة اليوم التعازي من قادة جيوش مصر وقطر إثر وفاة الفريق ڨا</t>
  </si>
  <si>
    <t>مواجهة مرتقبة بين ميسي ورونالدو في روسيا !!  .   يأمل عشاق كرة القدم أن يشهد الدور الربع النهائي مواجهة تاريخية بين النجمين البرتغالي كريستيانو رونا</t>
  </si>
  <si>
    <t>الولايات المتحدة تدين موقف إيران تجاه المحتجين  .  أدانت الولايات المتحدة، موجة الاعتقالات التي تقوم بها قوات الأمن الإيرانية بحق محتجين خرجوا في مظاهر</t>
  </si>
  <si>
    <t>فرنسا والمغرب نحو آلية تعاون جديدة  .  عبّر الرئيس الفرنسي فرنسوا هولاند والعاهل المغربي الملك محمد السادس، الاثنين، في باريس عن رغبتهما في</t>
  </si>
  <si>
    <t>أمريكا تزود جيش لبنان بمساعدات عسكرية بعد توغل إسلاميين متشددين  .  قال مسؤولون أمريكيون اليوم ، إن الولايات المتحدة بدأت تسليم شحنة أسلحة تشمل بنادق هجومية وصواريخ مضا</t>
  </si>
  <si>
    <t>بالفيديو.. نجمة &amp;#8220;Arabs Got Talent&amp;#8221; تحصل على الباز الذهبي بأمريكا  .  حصلت الطفلة المغربية، &amp;#8220;إيمان بيشة&amp;#8221;، والفائزة بلقب &amp;#8220;Arabs Got Talent&amp;#8221;، على ال</t>
  </si>
  <si>
    <t>رئيس أركان الجيش الاميركي يصل الأردن قريبا  .   ذكرت مصادر إعلامية أردنية، اليوم الأربعاء، أن رئيس هيئة الأركان المشتركة الأميركية، الجنرال مارتن د</t>
  </si>
  <si>
    <t>تونس تعيد فتح حدودها البرية مع ليبيا  .  فتحت اليوم الجمعة، تونس، حدودها البرية مع ليبيا بعدما أغلقتها 15 يوما إثر مقتل 12 من عناصر الأمن الر</t>
  </si>
  <si>
    <t>البرازيلي ديل نيرو يستقيل من اللجنة التنفيذية للفيفا  .  قال اتحاد أمريكا الجنوبية لكرة القدم "كونميبول" اليوم &amp;nbsp;إن رئيس الاتحاد البرازيلي للعبة ديل نيرو</t>
  </si>
  <si>
    <t>قائد القوات الإسرائيلية في غزة مغربي  .  رفع عدد من المحامين المغاربة دعوى أمام القضاء المغربي ضد القائد العسكري للمنطقة الجنوبية في جيش الاح</t>
  </si>
  <si>
    <t>رئيس الفلبين يعلن حالة النكبة الوطنية في بلاده جراء إعصار هايان  .  أعلن الرئيس الفلبيني بنينو أكينو اليوم الثلاثاء حالة "النكبة الوطنية" في بلاده جراء تعرضها لإعصار "ه</t>
  </si>
  <si>
    <t>DEU SWE</t>
  </si>
  <si>
    <t>GHA MAR</t>
  </si>
  <si>
    <t>SDN SSD</t>
  </si>
  <si>
    <t>LBY USA</t>
  </si>
  <si>
    <t>PSE FRA</t>
  </si>
  <si>
    <t>FRA QAT</t>
  </si>
  <si>
    <t>ARE SYR</t>
  </si>
  <si>
    <t>AUS CAN</t>
  </si>
  <si>
    <t>IRN NGA</t>
  </si>
  <si>
    <t>SEN KEN</t>
  </si>
  <si>
    <t>MAR ARG</t>
  </si>
  <si>
    <t>CMR MLI</t>
  </si>
  <si>
    <t>NGA SAU</t>
  </si>
  <si>
    <t>BEN MWI</t>
  </si>
  <si>
    <t>COD COG</t>
  </si>
  <si>
    <t>ESP SLV</t>
  </si>
  <si>
    <t>DNK IRQ</t>
  </si>
  <si>
    <t>SYR POL</t>
  </si>
  <si>
    <t>VEN IRN</t>
  </si>
  <si>
    <t>MAR ESH</t>
  </si>
  <si>
    <t>PRT IRQ</t>
  </si>
  <si>
    <t>TUN ITA</t>
  </si>
  <si>
    <t>ARE QAT</t>
  </si>
  <si>
    <t>TUN PRT</t>
  </si>
  <si>
    <t>SYC NGA</t>
  </si>
  <si>
    <t>GBR CAN</t>
  </si>
  <si>
    <t>TCD NGA</t>
  </si>
  <si>
    <t>ESH GBR</t>
  </si>
  <si>
    <t>MAR BHR</t>
  </si>
  <si>
    <t>LBY MRT</t>
  </si>
  <si>
    <t>BFA NER</t>
  </si>
  <si>
    <t>RUS PRT</t>
  </si>
  <si>
    <t>FRA MAR</t>
  </si>
  <si>
    <t>USA LBN</t>
  </si>
  <si>
    <t>TUN KOS</t>
  </si>
  <si>
    <t>USA MAR</t>
  </si>
  <si>
    <t>JOR USA</t>
  </si>
  <si>
    <t>PSE MAR</t>
  </si>
  <si>
    <t>PHL BEN</t>
  </si>
  <si>
    <t>Une équipe russe de 18 personnes en Turquie pour enquêter sur l'assassinat de l'ambassadeur Karlov. Le porte-parole de la présidence russe, Dmitri Peskov, a annoncé ce mardi qu'une équipe russe composée de 18 personnes</t>
  </si>
  <si>
    <t>Les États-Unis autorisent les familles des diplomates à Ankara à quitter la Turquie.  Les États-Unis ont accordé aux familles de leur personnel diplomatique dans la capitale turque, Ankara, l'autorisation de quitter la Turquie</t>
  </si>
  <si>
    <t>L'Allemagne et la Suède confirment que près de 850 de leurs ressortissants ont rejoint les rangs de « Daech »  .  Le chef des services de renseignement suédois, Anders Thomborg, a déclaré qu’il estimait qu’environ 300 Suédois avaient rejoint les rangs de l’organisation « Daech »</t>
  </si>
  <si>
    <t>CAF : la compétition se jouera entre le Ghana et l’Afrique du Sud en cas de retrait du Maroc.  La Confédération africaine de football (CAF) a choisi le Ghana et l’Afrique du Sud pour accueillir la phase finale de la Coupe d’</t>
  </si>
  <si>
    <t>McCain : Washington continue de soutenir les Peshmergas contre le terrorisme. Le sénateur américain John McCain a réaffirmé, lors de sa visite dans la région du Kurdistan irakien le samedi 27 décembre, le soutien et l’appui des États-Unis</t>
  </si>
  <si>
    <t>La Maison Blanche : nous imposerons des sanctions supplémentaires à l'Iran la semaine prochaine. La porte-parole de la Maison Blanche, Sarah Sanders, a déclaré que les États-Unis s'apprêtaient à imposer des sanctions supplémentaires à l'Iran dès le début de la semaine</t>
  </si>
  <si>
    <t>Des dizaines de civils et deux « casques bleus » ont été blessés lors d'une attaque contre leur base au Soudan du Sud.   L'ONU a annoncé que des dizaines de civils sud-soudanais et deux membres de la force de l'ONU</t>
  </si>
  <si>
    <t>40 morts et 6 blessés lors d'une frappe aérienne américaine en Libye  .  40 personnes ont été tuées et d'autres blessées lors d'une frappe aérienne américaine sur la ville libyenne de Sabrata qui visait un site de l'organisation &amp;laqu</t>
  </si>
  <si>
    <t>Vote « symbolique » en France sur la reconnaissance de la Palestine. Le Parti socialiste au pouvoir en France a déclaré aujourd’hui que l’Assemblée nationale (le Parlement) voterait le 28 novembre prochain</t>
  </si>
  <si>
    <t>La France sacrée championne du monde de handball aux dépens du Qatar.  L'équipe de France a remporté le championnat du monde de handball en battant son homologue qatarie 25-22 (mi-temps 14-11) lors du match</t>
  </si>
  <si>
    <t>Les Émirats arabes unis se disent prêts à envoyer des forces terrestres en Syrie  .  Les Émirats arabes unis ont fait part de leur volonté d'envoyer des forces terrestres en Syrie pour combattre l'organisation « État islamique » dans le cadre de la</t>
  </si>
  <si>
    <t>L'Australie et le Canada ne participeront pas aux Jeux olympiques de Tokyo et demandent le report de la compétition !  .  Le journal espagnol « AS » a révélé que le Canada et l'Australie ne participeront pas aux Jeux olympiques de Tokyo 2020 et demandent le report de la compétition</t>
  </si>
  <si>
    <t>Rouhani réaffirme le soutien de l’Iran à la Syrie  .   Le président iranien Hassan Rouhani a réaffirmé le soutien de l’Iran à la Syrie dans sa lutte contre le terrorisme, lors d’un entretien téléphonique avec le</t>
  </si>
  <si>
    <t xml:space="preserve">L’Iran condamne les attaques menées par le groupe Boko Haram au Nigeria  .  L'Iran a condamné ce dimanche les récentes attaques perpétrées par le groupe extrémiste « Boko Haram » au Nigeria, qui ont fait </t>
  </si>
  <si>
    <t>Kerry : plus de 10 pays prêts à frapper la Syrie  .   Le ministre américain des Affaires étrangères John Kerry a annoncé samedi que de nombreux pays étaient prêts à participer à des frappes militaires menées par</t>
  </si>
  <si>
    <t>La Turquie s'engage auprès de la Grèce à annuler l'accord sur les migrants pour cette raison. Le gouvernement turc s'est engagé vendredi à annuler l'accord de réadmission des migrants, en réponse à la décision du tribunal grec</t>
  </si>
  <si>
    <t>Ekpiba met en garde l'Algérie et le Sénégal contre l'équipe du Kenya.  L'ancien international nigérian Victor Ekpiba a mis en garde l'équipe algérienne et son homologue sénégalaise contre l'équipe du Kenya, leur adversaire</t>
  </si>
  <si>
    <t>Une personne tuée lors d'une attaque armée contre l'ambassade d'Israël en Turquie  .  La chaîne Russia Today a rapporté ce matin qu'une attaque armée avait visé l'ambassade d'Israël à Ankara, en Turquie, faisant</t>
  </si>
  <si>
    <t>Le Canada et les États-Unis s'accordent pour prolonger de 30 jours l'interdiction des voyages non essentiels entre les deux pays.  Le Premier ministre canadien, Justin Trudeau, a déclaré ce mardi que son pays et les États-Unis s'étaient mis d'accord pour prolonger l'</t>
  </si>
  <si>
    <t xml:space="preserve">Le Kremlin qualifie de grave l'abattage de l'avion russe par la Turquie.  Le Kremlin a déclaré ce mardi que la destruction par l'aviation turque d'un avion de chasse russe à la frontière entre la Syrie et la Turquie était un incident </t>
  </si>
  <si>
    <t>Trois Palestiniens tués lors d'un bombardement israélien au nord de la bande de Gaza  .  Trois jeunes Palestiniens ont été tués vendredi matin lors d'un bombardement israélien au nord de la bande de Gaza, &amp;nbsp;selon ce qu'a annoncé le ministère</t>
  </si>
  <si>
    <t>L'Union du Maghreb arabe écrit à Bouteflika pour la Coupe du monde 2030.  Afin d'entamer la coordination d'un dossier commun pour rivaliser avec l'Uruguay, l'Argentine et le Paraguay, l'Union du Maghreb arabe a écrit</t>
  </si>
  <si>
    <t>Rasmussen : l'OTAN n'envisage aucune riposte militaire contre les actions de la Russie en Ukraine.  Le secrétaire général de l’OTAN, Anders Fogh Rasmussen, a affirmé que l’OTAN n’envisageait aucune riposte militaire aux actions de la Russie</t>
  </si>
  <si>
    <t>Les Lions du Cameroun échappent au piège du Mali  .  Le Cameroun a fait match nul 1-1 contre le Mali aujourd’hui, lors du match qui les a opposés &amp;nbsp;aujourd’hui à Malabo dans le cadre de la</t>
  </si>
  <si>
    <t xml:space="preserve">Washington réduit les effectifs de sa mission diplomatique en Irak pour des raisons de sécurité.  Les États-Unis ont évacué une partie du personnel de leur ambassade à Bagdad et de leur consulat général à Erbil et les ont transférés vers la ville de </t>
  </si>
  <si>
    <t xml:space="preserve">La France suspend la livraison du premier navire « Mistral » à la Russie.  Le président français, François Hollande, a annoncé aujourd'hui la suspension de la livraison du premier navire de guerre de type « Mistral » </t>
  </si>
  <si>
    <t>Obama invite un réfugié syrien à assister à son discours sur l'état de l'Union  .  Le président américain Barack Obama a invité le réfugié syrien Rifai Hamou à assister à son dernier discours annuel sur l'état de l'« Union »</t>
  </si>
  <si>
    <t>La Suisse restitue 40 millions de dollars à la Tunisie.  La Suisse a décidé de restituer environ 40 millions de dollars à la Tunisie, somme qu’elle avait gelée sur les comptes d’un proche de l’ancien président</t>
  </si>
  <si>
    <t xml:space="preserve">Découverte de fosses communes contenant les dépouilles de 470 soldats irakiens exécutés par Daech à Tikrit.  La situation sécuritaire en Irak et en Syrie n'augure rien de bon après la prise de contrôle par les combattants de l'État islamique (Daech) de </t>
  </si>
  <si>
    <t>Le Nigeria et l'Arabie saoudite dénoncent Majer !  .  L'équipe nationale nigériane de football a livré une performance catastrophique lors de son premier match de la phase finale de la Coupe du monde face à l'équipe</t>
  </si>
  <si>
    <t>La secrétaire d'État américaine Hillary Clinton a reçu hier soir, vendredi, à Londres, le prix de l'Institut</t>
  </si>
  <si>
    <t xml:space="preserve">Washington condamne la poursuite de la colonisation en Cisjordanie occupée  .  Les États-Unis ont condamné aujourd'hui le projet israélien de construction de 450 nouveaux logements de colonisation à </t>
  </si>
  <si>
    <t>Le port du masque est obligatoire en Espagne jusqu'à l'apparition d'un vaccin contre le coronavirus !  .  Le ministre espagnol de la Santé, Salvador Illa, a annoncé mardi que le port du masque dans les lieux publics resterait obligatoire</t>
  </si>
  <si>
    <t>Le Danemark décide de retirer ses forces spéciales d’Irak. Le Danemark a décidé de retirer ses forces spéciales du territoire irakien après la libération de la plupart des régions de l’organisation terroriste Daech.</t>
  </si>
  <si>
    <t>Le photographe Marcin Söder s’est échappé de ses ravisseurs en Syrie et est rentré dans son pays, la Pologne.  Le ministre polonais des Affaires étrangères, Radosław Sikorski, a annoncé ce jeudi que le photographe polonais Marcin Söder, qui avait été enlevé</t>
  </si>
  <si>
    <t>Le président iranien reçoit Mohamed El-Arabi Ould Khalifa  .  Le président de l'Assemblée populaire nationale, Mohamed El-Arabi Ould Khalifa, a été reçu ce dimanche au Venezuela par le président iranien</t>
  </si>
  <si>
    <t>Le retour du Maroc au sein de l’Union africaine n’aura aucune incidence sur la situation du Sahara occidental. Le ministre des Affaires maghrébines, de l’Union africaine et de la Ligue des États arabes, Abdelkader Messahel, a démenti que le retour du Maroc</t>
  </si>
  <si>
    <t xml:space="preserve">Les États-Unis décident de prolonger la licence accordée à « Huawei »  .  Le ministère américain du Commerce a décidé de prolonger la licence accordée à l’entreprise de télécommunications chinoise « Huawei » pour une durée de </t>
  </si>
  <si>
    <t>Cinq footballeurs rejoignent l’État islamique  .  Cinq footballeurs portugais ont rejoint les rangs de l’État islamique en Irak et au Levant.</t>
  </si>
  <si>
    <t>Des journaux espagnols et britanniques accusent Himoudi d’avoir commis des erreurs lors du match de classement entre les Pays-Bas et le Brésil. Les journaux espagnols « Marca » et « AS », ainsi que le journal britannique « Daily Mail », ont annoncé que le penalty sifflé par</t>
  </si>
  <si>
    <t>50 Italiens combattent dans les rangs de Daech en Irak et en Syrie.  Le site russe RIA a déclaré qu'au moins 50 Italiens âgés de 18 à 25 ans se sont joints au combat en Irak</t>
  </si>
  <si>
    <t xml:space="preserve">Vidéo... L'occupation démolit les maisons de trois Palestiniens en Cisjordanie.  L'armée israélienne a démoli les maisons de trois Palestiniens qui avaient mené une attaque ayant coûté la vie à une soldate israélienne, à Qabatiya, en </t>
  </si>
  <si>
    <t>Le Parlement tunisien vote en faveur du transport du gaz algérien vers l'Italie via la Tunisie.  La Chambre des représentants du peuple tunisien a approuvé ce mercredi un projet de loi relatif au transport du gaz naturel algérien</t>
  </si>
  <si>
    <t xml:space="preserve">Le général Ahmed Gaïd Salah en visite aux Émirats arabes unis et au Qatar  .  &amp;nbsp;Le vice-ministre de la Défense nationale et chef d'état-major de l'Armée nationale populaire, le général Ahmed Gaïd Salah, effectue aujourd'hui </t>
  </si>
  <si>
    <t>Élimination de 10 militants kurdes à la suite de frappes turques en Turquie et en Irak. Une source sécuritaire turque a annoncé ce mercredi que des avions de combat turcs avaient bombardé des cibles du Parti des travailleurs du Kurdistan</t>
  </si>
  <si>
    <t>Une personne blessée suite à la chute d’un projectile militaire provenant du Yémen sur le sud de l’Arabie saoudite. Une personne a été blessée dans le sud de l’Arabie saoudite, à la suite de la chute d’un projectile militaire provenant du Yémen sur un dispensaire médical situé à</t>
  </si>
  <si>
    <t xml:space="preserve">Le gardien de but de l’équipe des Seychelles fait l’objet de moqueries !!  .  Le gardien titulaire de l'équipe nationale des Seychelles a suscité l'étonnement des spectateurs du match auquel il a participé contre le Nigeria ce samedi sur </t>
  </si>
  <si>
    <t>Taïder décide de quitter Bologne et hésite entre la Turquie et l'Allemagne  .  L'ancien international algérien Saphir Taïder s'apprête à quitter son club de Bologne lors du prochain mercato d'hiver, à la recherche</t>
  </si>
  <si>
    <t xml:space="preserve">La France a arrêté un Tunisien d'origine salafiste soupçonné de recruter des combattants pour l'opposition syrienne  .  La police française a arrêté à Grenoble, dans le sud-est de la France, un jeune homme d'origine tunisienne soupçonné de recruter des combattants pour </t>
  </si>
  <si>
    <t>L'Union européenne pourrait convoquer un sommet pour renforcer les sanctions contre la Russie la semaine prochaine. Le ministre français des Affaires étrangères, Laurent Fabius, a annoncé que l'Union européenne était prête, si nécessaire, à convoquer un sommet de crise</t>
  </si>
  <si>
    <t>Israël ouvre le point de passage de Karam Abu Salem pour faire entrer des marchandises et de l'aide dans la bande de Gaza.  Selon des informations palestiniennes, le point de passage commercial de Kerem Shalom, au sud-est de la ville de Rafah, a été ouvert ce dimanche matin pour permettre l'entrée</t>
  </si>
  <si>
    <t>d'une alerte d'urgence à bord d'un vol reliant Londres au Canada. Les commandants de bord d'un Boeing 767 ont lancé un appel d'urgence pendant le vol qui a décollé de Londres à destination du Canada. Le journal Al-</t>
  </si>
  <si>
    <t>L'Union européenne exhorte les rebelles congolais à déposer les armes.   L'Union européenne a dénoncé la reprise des combats autour de Goma, dans l'est de la République démocratique du Congo, et a insisté sur la « nécessité d'</t>
  </si>
  <si>
    <t xml:space="preserve">Des centaines de morts retrouvés dans une ville nigériane.  Les forces tchadiennes ont pris le contrôle de la ville de Dikawa, au nord-est du Nigeria, qui était sous l'emprise du groupe « Boko Haram », où des </t>
  </si>
  <si>
    <t>hommes armés ont enlevé un soldat libanais près de la Syrie.  Mercredi, des hommes armés ont enlevé à la frontière libano-syrienne un soldat libanais originaire de la ville d’Arsal, où des extrémistes avaient déjà enlevé</t>
  </si>
  <si>
    <t>Kerry propose à Israël des idées pour améliorer sa sécurité dans le cadre d’un accord avec les Palestiniens. Le secrétaire d’État américain John Kerry a déclaré jeudi que des progrès avaient été réalisés dans les pourparlers entre Palestiniens</t>
  </si>
  <si>
    <t>« Les vestiges du Sahara occidental » dans un nouveau livre publié en Grande-Bretagne. La maison d’édition britannique « Oxbo Books, Oxford » a publié un ouvrage intitulé « Les vestiges du Sahara</t>
  </si>
  <si>
    <t>Le Venezuela a l’intention de quitter l’Organisation des États américains.  La ministre vénézuélienne des Affaires étrangères, Delcy Rodríguez, a confirmé mercredi que son pays allait quitter l’Organisation des États américains.</t>
  </si>
  <si>
    <t>Saif Al-Yazal : l’Égypte ne participera pas aux combats contre Daech avec des unités terrestres ou aériennes  .  Le général Sameh Seif El-Yazal, président du Centre républicain d’études politiques et stratégiques, a déclaré que la présence de la Turquie ou de l’Iran</t>
  </si>
  <si>
    <t>La France envoie une unité des forces spéciales au Mali  .  Le ministre français de la Défense a confirmé qu’une unité des forces spéciales françaises se trouvait dans l’hôtel où des hommes armés retiennent des otages</t>
  </si>
  <si>
    <t>Le ministère américain de la Défense exprime son inquiétude face aux activités d'espionnage russes près du golfe du Mexique.  Le ministère américain de la Défense (Pentagone) a déclaré que deux navires d'espionnage russes opéraient au large de la côte est des États-Unis</t>
  </si>
  <si>
    <t xml:space="preserve">Le Maroc s'oppose à la prochaine visite de Ban Ki-moon au Sahara occidental.  &amp;nbsp;Le gouvernement marocain s'efforce d'empêcher la visite du secrétaire général de l'Organisation des Nations unies au Sahara occidental sur </t>
  </si>
  <si>
    <t xml:space="preserve">Washington refuse d'expulser ses diplomates de Caracas.  Les États-Unis ont rejeté lundi les accusations de Venezuela selon lesquelles ils aideraient les manifestants anti-gouvernementaux, et ont déclaré que </t>
  </si>
  <si>
    <t>Al-Qaradawi quitte l'Égypte pour le Qatar. Le cheikh Youssef Al-Qaradawi, président de l'Union mondiale des savants musulmans, a quitté Le Caire ce mercredi soir pour retourner au</t>
  </si>
  <si>
    <t>Les prix du pétrole augmentent après l'accord des États-Unis pour mener des pourparlers avec la Russie. Les prix du pétrole ont enregistré mardi une hausse relative immédiatement après l'annonce par les États-Unis de leur accord pour mener des pourparlers avec la</t>
  </si>
  <si>
    <t xml:space="preserve">États-Unis : l'avenir de l'Afghanistan dépend des forces étrangères.   Le commandant américain des forces dirigées par l'OTAN en Afghanistan a déclaré que l'avenir sécuritaire de ce pays </t>
  </si>
  <si>
    <t>Une dispute entre Dounia Batma et son mari Mohamed Al-Turk suscite la polémique  .  L'artiste marocaine Dounia Batma a cessé de suivre son mari et manager bahreïni, le producteur Mohamed Al-Turk, sur le site</t>
  </si>
  <si>
    <t>Le Maroc réduit la mission de l'ONU au Sahara occidental  .  Le Maroc a réduit les effectifs civils travaillant dans le cadre de la mission des Nations unies au Sahara occidental (MINUO)</t>
  </si>
  <si>
    <t>Une Palestinienne enlève son fils et le fait passer clandestinement avec un passeport français délivré par le consulat de France à Dubaï. Elle s'est vengée de son ex-mari après qu'il eut obtenu la garde de leur fils immédiatement après le divorce. Le tribunal de Sidi Mohammed a confirmé le mandat d'arrêt international</t>
  </si>
  <si>
    <t>Sud-Soudan : violents combats dans deux États  .  L'armée du Sud-Soudan a déclaré que des rebelles avaient attaqué des villes dans deux États mardi, provoquant de violents combats. Et</t>
  </si>
  <si>
    <t>Les États-Unis restituent à la France un tableau volé de Picasso  .  Les autorités américaines ont restitué le tableau « Les Quatre Chefs », volé à l'artiste Pablo Picasso, dont la valeur est estimée à environ 15 millions</t>
  </si>
  <si>
    <t>Le président du Soudan du Sud remanie son gouvernement moins d’une semaine après son annonce. Salva Kiir Mayardit, président de la République du Soudan du Sud, a publié dimanche soir un décret remaniant le gouvernement.</t>
  </si>
  <si>
    <t xml:space="preserve">Deux policiers et deux courtiers originaires de Libye et de Mauritanie impliqués dans un réseau de détournement de fonds destinés aux changeurs de devises.  Le tribunal pénal de Casablanca a ouvert un dossier sur le dernier membre du groupe qui était en fuite. Les services de sécurité de la capitale ont réussi, </t>
  </si>
  <si>
    <t>l'arrestation de 10 personnes recrutant des combattants pour Daech en Espagne et au Maroc. Le ministère de l'Intérieur espagnol a annoncé aujourd'hui l'arrestation de 10 personnes en Espagne et au Maroc, soupçonnées de chercher à recruter des combattants</t>
  </si>
  <si>
    <t xml:space="preserve">La Corée du Nord mène des manœuvres près de la frontière sud-coréenne. Pyongyang a commencé aujourd’hui des manœuvres militaires dans la mer Jaune, près de la frontière maritime avec la Corée du Sud, </t>
  </si>
  <si>
    <t xml:space="preserve">Merkel effectue une tournée africaine comprenant le Burkina Faso, le Mali et le Niger.  La chancelière allemande, Angela Merkel, effectue une tournée en Afrique de l'Ouest comprenant le Burkina Faso, le Mali et le Niger, à partir de </t>
  </si>
  <si>
    <t>Un pays arabe salue la frappe américaine contre une base aérienne militaire syrienne. De nombreux pays ont condamné la frappe aérienne américaine qui a visé un aérodrome militaire en Syrie, tandis que d'autres ont exprimé</t>
  </si>
  <si>
    <t xml:space="preserve">mise en accusation de deux Palestiniennes pour leur participation à une manifestation pacifique  .  Un tribunal militaire israélien a officiellement mis en accusation, mardi, deux Palestiniennes ayant participé à une manifestation pacifique avec </t>
  </si>
  <si>
    <t xml:space="preserve">La Turquie a détruit le mausolée de Soliman Shah pour le protéger des menaces de Daech  .  Ankara a annoncé lundi 23 février que le transfert de la dépouille de Soliman Shah depuis le nord de la Syrie et la destruction du mausolée par une force spéciale turque avaient eu lieu </t>
  </si>
  <si>
    <t>. Saïd Chankriha reçoit les condoléances des chefs d'état-major égyptien et qatari.  Le chef d'état-major de l'armée par intérim, Saïd Chankriha, a reçu aujourd'hui les condoléances des chefs d'état-major des armées égyptienne et qatarie à la suite du décès du général Ga</t>
  </si>
  <si>
    <t>Affrontement attendu entre Messi et Ronaldo en Russie !!  .   Les amateurs de football espèrent que les quarts de finale verront un affrontement historique entre les deux stars portugaises Cristiano Ronaldo</t>
  </si>
  <si>
    <t>Les États-Unis condamnent l’attitude de l’Iran envers les manifestants  .  Les États-Unis ont condamné la vague d’arrestations menées par les forces de sécurité iraniennes à l’encontre des manifestants qui sont descendus dans la rue</t>
  </si>
  <si>
    <t>La France et le Maroc s’orientent vers un nouveau mécanisme de coopération  .  Le président français François Hollande et le souverain marocain, le roi Mohammed VI, ont exprimé lundi à Paris leur volonté de</t>
  </si>
  <si>
    <t>Les États-Unis fournissent une aide militaire à l’armée libanaise après l’incursion d’islamistes radicaux  .  Des responsables américains ont déclaré aujourd’hui que les États-Unis avaient commencé à livrer un chargement d’armes comprenant des fusils d’assaut et des missiles anti-tank</t>
  </si>
  <si>
    <t xml:space="preserve">En vidéo… La star de « Arabs Got Talent » remporte le Golden Buzz aux États-Unis. La petite Marocaine « Iman Bicha », gagnante du titre « Arabs Got Talent », a remporté le </t>
  </si>
  <si>
    <t>Le chef d'état-major de l'armée américaine arrive bientôt en Jordanie.   Des sources médiatiques jordaniennes ont indiqué ce mercredi que le chef d’état-major interarmées américain, le général Martin D</t>
  </si>
  <si>
    <t>La Tunisie rouvre ses frontières terrestres avec la Libye  .  La Tunisie a rouvert ce vendredi ses frontières terrestres avec la Libye après les avoir fermées pendant 15 jours à la suite du meurtre de 12 membres des forces de sécurité</t>
  </si>
  <si>
    <t>Le Brésilien Del Nero démissionne du Comité exécutif de la FIFA. La Confédération sud-américaine de football (CONMEBOL) a déclaré aujourd’hui que le président de la Fédération brésilienne de football, Del Nero</t>
  </si>
  <si>
    <t>Le commandant des forces israéliennes à Gaza est marocain.  Plusieurs avocats marocains ont porté plainte devant la justice marocaine contre le commandant militaire de la région sud de l'armée de l'</t>
  </si>
  <si>
    <t>Le président des Philippines déclare l'état de catastrophe nationale dans son pays à la suite du typhon Haiyan. Le président philippin Benigno Aquino a déclaré ce mardi l'état de « catastrophe nationale » dans son pays, qui a été frappé par le typhon « Hai</t>
  </si>
  <si>
    <t xml:space="preserve">Gourcuff à Cotonou pour assister au match Bénin-Malawi  .  Le nouvel entraîneur de l'équipe nationale algérienne de football, le Français Christian Gourcuff, se trouve dans la capitale béninoise, Cotonou. Hillary Clinton reçoit à Londres le prix du Royal Institute of International Affairs.  </t>
  </si>
  <si>
    <t xml:space="preserve">L'Union des nations sud-américaines (UNASUR) réaffirme son soutien au Venezuela face aux sanctions américaines.  L'Union des nations sud-américaines (UNASUR) a exprimé son soutien au Venezuela face aux nouvelles sanctions que lui a imposées les États-Unis. </t>
  </si>
  <si>
    <t xml:space="preserve">L'équipe tunisienne de handball féminin a remporté aujourd'hui, à la salle Harcha Hassan (Alger), le titre de la Coupe d'Afrique des nations 2014 L'équipe tunisienne s'est imposée face à la République démocratique du Congo (23-20) lors de la Coupe d'Afrique des nations féminine.  </t>
  </si>
  <si>
    <t>La Tunisie négocie avec l'Italie, le Portugal et Bruxelles au sujet de l'événement Dubaï 2020.  Le président de la République tunisienne, Beji Caid Essebsi, poursuit ses visites officielles dans plusieurs pays après sa rencontre avec son homologue</t>
  </si>
  <si>
    <t xml:space="preserve">Un journal américain : Israël a reçu des armes du Pentagone sans l'accord d'Obama.Le journal américain « Wall Street Journal » a révélé qu'Israël avait reçu, en juillet dernier, des armes du ministère de la Défense </t>
  </si>
  <si>
    <t xml:space="preserve">Les Sambreros et les Chachia tunisiens sont très présents à la Coupe du monde en Russie. La Place Rouge, dans la capitale russe Moscou, a vu une forte présence des Sambreros mexicains et des Chachia tunisiens. </t>
  </si>
  <si>
    <t>Ronaldo a déclaré à un juge espagnol : « Si je n'étais pas Cristiano... je ne serais pas ici »  .  La star portugaise « Cristiano Ronaldo » a provoqué un tollé ce lundi en s'adressant à un juge espagnol en ces termes : « Si je n'</t>
  </si>
  <si>
    <t>Consultations algéro-tunisiennes pour la relance de l’Union des travailleurs du Maghreb  .Le secrétaire général de l'Union générale tunisienne du travail, Noureddine Taboubi, a souligné ce jeudi à Alger l'importance de mettre en place</t>
  </si>
  <si>
    <t>DZA</t>
  </si>
  <si>
    <t>URY PAR</t>
  </si>
  <si>
    <t xml:space="preserve">Accord russo-américain pour stabiliser la situation sécuritaire en Syrie  .  Les médias ont révélé ce vendredi, citant une source diplomatique anonyme, qu'un accord avait été conclu entre la Russie et la  </t>
  </si>
  <si>
    <t>DEU MLI</t>
  </si>
  <si>
    <t>مصر ترحب باستبعاد المستوطنات من اتفاقيات التعاون الأوروبي مع إسرائيل  .  رحبت مصر اليوم الخميس، بقرار الاتحاد الأوروبي باستبعاد المستوطنات الإسرائيلية في الضفة الغربية والقد</t>
  </si>
  <si>
    <t>باكستان تفرج عن المسؤول الثاني السابق في طالبان الأفغانية  .  أعلن مسؤول حكومي كبير، اليوم الثلاثاء، أن السلطات الباكستانية ستفرج قريبًا عن الذراع اليمني سابقًا ل</t>
  </si>
  <si>
    <t xml:space="preserve">آلاف الإيرانيين يحتشدون في ذكرى حصار السفارة الأمريكية بطهران  .  تظاهر متشددون إيرانيون، الاثنين، لإحياء ذكرى اقتحام السفارة الأمريكية في طهران عام 1979 في مؤشر على </t>
  </si>
  <si>
    <t>توغل إسرائيلي قرب حدود خان يونس  .  أفاد شهود عيان فلسطينيون، أن عدة آليات إسرائيلية مدرعة، توغلت صباح اليوم الخميس، في الأراضي الفلسطين</t>
  </si>
  <si>
    <t xml:space="preserve">منظمة الأمن الأوروبية ترسل بعثة مراقبة لأوكرانيا  .  قال دبلوماسيون، إن دول منظمة الأمن والتعاون في أوروبا بما في ذلك روسيا أصدرت قرارا بالإجماع الجمعة، </t>
  </si>
  <si>
    <t>العراق: المالكي يؤكد قصف طائرات سورية مواقع لمسلحي داعش على الحدود  .  أكد رئيس الوزراء العراقي، نوري المالكي، لبي بي سي أن سوريا نفذت غارات جوية ضد مسلحي تنظيم "الدولة ال</t>
  </si>
  <si>
    <t>مسعفون: مقتل 7 فلسطينيين في غارة جوية إسرائيلية على قطاع غزة  .  قال مسعفون، إن "مقتل 7 فلسطينيين، في غارة جوية إسرائيلية، وهو أكبر عدد من الضحايا في هجوم واحد</t>
  </si>
  <si>
    <t>«حماس»: سنلتزم بهدنة 3 أيام في غزة بدءا اليوم مادام الطرف الآخر يلتزم بها  .  قالت حركة المقاومة الإسلامية، «حماس»، إنها "ستلتزم بهدنة متبادلة مع إسرائيل لمدة ثلاثة ايام، تبدأ في</t>
  </si>
  <si>
    <t xml:space="preserve">دول على أريكة طبيب نفسى  .  قرأت تصريحا للورد كاميرون رئيس وزراء بريطانيا عن أحداث غزة، فكان طبيعيا ومعتادا أن تثار مشاعر كثيرة </t>
  </si>
  <si>
    <t>الولايات المتحدة تشن 15 ضربة جوية قرب سد الموصل بالعراق  .  أعلن الجيش الأمريكي أن طائراته القتالية شنت 15 غارة جوية، الاثنين، ضد مسلحي تنظيم الدولة الإسلامية .</t>
  </si>
  <si>
    <t>كيري يزور تركيا لتعزيز الحملة ضد الدولة الإسلامية  .  قالت وزارة الخارجية التركية: إن وزير الخارجية الأمريكي جون كيري سيزور تركيا، غدًا الجمعة، في إطار جو</t>
  </si>
  <si>
    <t>فيديو.. «هريدي»: قبول أي دولة عربية إقامة معسكرات للمعارضة السورية سيؤدي لفوضى بالعالم العربي  .  تعقيبًا على تصريحات الرئيس الأمريكي، باراك أوباما، حول موافقة السعودية على استضافة تدريب المعارضة ال</t>
  </si>
  <si>
    <t>بريطانيا: اول حكم قضائي بسجن مواطنين عائدين من سوريا  .  قضت محكمة بريطانية على شقيقين بالسجن بعد ادانتهما بتهمة التدرب في معسكرات تابعة "لتنظيمات ارهابية" ح</t>
  </si>
  <si>
    <t>أوباما يدين «القتل الهمجي» للرهينة الأمريكي في اليمن  .  دان الرئيس الأمريكي باراك أوباما، السبت، قتل الصحفي الأمريكي لوك سومرز في اليمن أثناء عملية فاشلة لت</t>
  </si>
  <si>
    <t>بريطانيا تعبر عن القلق من اختبار روسيا لمجالها الجوي  .  قالت بريطانيا اليوم الاثنين إنها قلقة إزاء الزيادة الحادة في الطلعات الجوية العسكرية الروسية على مقر</t>
  </si>
  <si>
    <t>رئيسا الوقف السني والشيعي بالعراق: شيخ الأزهر وعدنا بدعوة علماء العراق للحوار  .  إسرائيل المستفيد مما يحدث في المنطقة من إرهاب.. ولا توجد أزمة بين سنة وشيعة وفتح صفحة جديدة مع دول ا</t>
  </si>
  <si>
    <t xml:space="preserve">تشخيص أول إصابة بالإيبولا في بريطانيا  .  لأول مرة يتم تشخيص الإيبولا في بريطانيا، حيث نقلت اليوم الثلاثاء امرأة قادمة من سيراليون إلى مستشفى </t>
  </si>
  <si>
    <t>التحالف يقطع طرقا يستخدمها الجهاديون بين العراق وسوريا  .  أعلن التحالف الدولي ضد تنظيم "الدولة الإسلامية" المتطرف انه قطع طرقا يستخدمها الجهاديون بين سوريا وا</t>
  </si>
  <si>
    <t>فيديو.. «المسلماني»: الحرب المزعومة بين إسرائيل وإيران مجرد «شو إعلامي»  .  قال الإعلامي أحمد المسلماني، إن الحرب التي تزعمها إسرائيل على إيران ليست "حربًا" وإنما هي "شو إعلامي</t>
  </si>
  <si>
    <t>كوريا الشمالية تنتقد رئيس وزراء اليابان  .  انتقدت كوريا الشمالية اليوم الخميس، رئيس الوزراء الياباني شينزو آبي بسبب عدم تقديمه اعتذارا عن الاست</t>
  </si>
  <si>
    <t xml:space="preserve">«أسطول الحرية» يقترب من سواحل غزة.. وإسرائيل ترصد تحركاته  .  اقترب «أسطول الحرية 3» الذي يضم سفنا تقل ناشطين مؤيدين للفلسطينيين من أجل كسر الحصار الإسرائيلي على </t>
  </si>
  <si>
    <t>فرنسا تحذر رعاياها في تركيا بعد الهجوم الانتحاري على الحدود السورية  .  دعت فرنسا رعاياها في تركيا إلى رفع درجة اليقظة بعد الهجوم الانتحاري في مدينة سوروك جنوب البلاد بالقر</t>
  </si>
  <si>
    <t>الكويت تفرج عن 4 متهمين بالتخابر مع إيران وحزب الله  .  أمرت محكمة كويتية، الثلاثاء، بالإفراج بكفالة عن أربعة موقوفين بتهمة «التخابر مع إيران وحزب الله اللب</t>
  </si>
  <si>
    <t>واشنطن «قلقة» من نشر صواريخ روسية مضادة للطائرات في سوريا  .  أعلن مسؤول أمريكي كبير، أمس الأربعاء، أن إعلان روسيا نيتها نشر صواريخ مضادة للطائرات متطورة جدا في ق</t>
  </si>
  <si>
    <t>بدء محادثات السلام اليمنية في سويسرا سعيا لحل دائم  .  انطلقت اليوم الثلاثاء في مكان غير معلوم في سويسرا وبرعاية الأمم المتحدة المشاورات بين أطراف النزاع ا</t>
  </si>
  <si>
    <t>كيف استطاعت البرازيل الحد من الفقر وعدم المساواة؟  .  فى منتدى العلوم الاجتماعية العالمى، الذى عقد فى ديربان فى جنوب أفريقيا فى سبتمبر 2015، طرح المشاركون</t>
  </si>
  <si>
    <t>«كيري» يتوجه إلى بلجيكا الجمعة  .  يتوجه وزير الخارجية الأميركي جون كيري، الجمعة، إلى بلجيكا ليقدم رسميا تعازي الولايات المتحدة بعد الا</t>
  </si>
  <si>
    <t>كوريا الشمالية تنشر فيديو دعائيا يظهر «ضربة نووية» لواشنطن  .  نشرت كوريا الشمالية تسجيل فيديو دعائي السبت، يظهر ضربة نووية لواشنطن ثم هددت كوريا الجنوبية بأن توجه</t>
  </si>
  <si>
    <t>مقتل فلسطيني بعد محاولته طعن جندي إسرائيلي على مشارف نابلس  .  قتل الجيش الإسرائيلي، الأحد، فلسطينيا بعد أن حاول طعن أحد الجنود على مشارف مدينة نابلس شمال الضفة ال</t>
  </si>
  <si>
    <t>فوتبول إيطاليا: مارادونا يستعمل جواز سفر مزور  .  أكدت شبكة "فوتبول إيطاليا" اليوم /الإثنين/ أن الأسطورة الأرجنتينية دييجو مارادونا</t>
  </si>
  <si>
    <t>الثلاثاء.. مجلس كنائس الشرق الأوسط ينتخب 4 رؤساء جدد  .  .ينتخب أعضاء مجلس كنائس الشرق الأوسط صباح غد الثلاثاء بالعاصمة الأردنية عمان،</t>
  </si>
  <si>
    <t>سلطات إسرائيل تعتقل 10 مراهقين فلسطينيين  .  اعتقلت السلطات الإسرائيلية، الاثنين، عشرة من المراهقين الفلسطينيين تتراوح أعمارهم بين 15 و17 عاما بت</t>
  </si>
  <si>
    <t>تامر أمين: ضبط 30 طفلا في مباراة مصر وغانا بحوزتهم أعلام إسرائيل  .  أشاد الإعلامي تامر أمين، بما وصفه بالأداء المميز لقوات الأمن، خلال مباراة مصر وغانا، التي أقيمت الأح</t>
  </si>
  <si>
    <t>«التواجد الأوروبي في الإمارات والبحرين» في محاضرة بمركز ثقافي بحريني  .  ينظم مركز عيسى الثقافي، مساء الأربعاء المقبل، محاضرة بعنوان «التواجد الأوروبي في الإمارات والبحرين م</t>
  </si>
  <si>
    <t>الصين تؤكد استعدادها للعمل مع واشنطن خلال أول لقاء بين وزيري خارجية البلدين  .  أعربت بكين عن "استعدادها" للعمل مع إدارة الرئيس الأمريكي دونالد ترامب، بحسب ما أكد وزير الخارجية الص</t>
  </si>
  <si>
    <t>بشارة يطيح بالمصريين من تلفزيون العربى  .  كشفت مصادر بشبكة تلفزيون العربى، الذى يبث من العاصمة البريطانية لندن بتمويل قطرى، عن توجه جديد للإدا</t>
  </si>
  <si>
    <t>وزير الدفاع الكويتي: أمن السعودية ودول مجلس التعاون جزء لا يتجزأ من أمننا  .  قال الشيخ محمد الخالد الحمد الصباح، إن أمن المملكة العربية السعودية ودول مجلس التعاون لدول الخليج ال</t>
  </si>
  <si>
    <t xml:space="preserve">بالفيديو.. مظاهرات في لندن ضد الخروج من الاتحاد الأوروبي  .  عرضت فضائية «روسيا اليوم»، مساء السبت، لقطات لمظاهرات شهدتها العاصمة البريطانية لندن، اليوم ضد خروج </t>
  </si>
  <si>
    <t>صحف السعودية: الزيارة الملكية لروسيا ستتوج بكثير من الرؤى التوافقية في قضايا المنطقة  .  ركزت الصحف السعودية في افتتاحيتها، اليوم الخميس، على العديد من الملفات والقضايا في الشأن المحلي والع</t>
  </si>
  <si>
    <t>مقتل 8 من عناصر قوات سوريا الديمقراطية في هجوم لـ«داعش» بريف دير الزور  .  أفاد المرصد السوري لحقوق الإنسان، ومقره لندن، بمقتل 8 من عناصر قوات سوريا الديمقراطية "قسد"، في هجوم</t>
  </si>
  <si>
    <t>ترامب يدعو مجلس الأمن لتجديد مهمة الأسلحة الكيماوية في سوريا  .  دعا الرئيس الأمريكي دونالد ترامب، مجلس الأمن الدولي إلى تمديد التفويض الممنوح لفريق التحقيق في الهجم</t>
  </si>
  <si>
    <t>بابا الفاتيكان يدعو للاعتراف بدولتين مستقلتين فلسطينية وإسرائيلية  .  قال البابا فرانسيس، بابا الفاتيكان، إن الإنسانية تحتفل بأعياد الميلاد في اليوم الذي تهب فيه رياح الح</t>
  </si>
  <si>
    <t>بابا الفاتيكان يعرب عن تعازيه لشعب تايوان في أعقاب الزلزال  .  وجه بابا الفاتيكان فرنسيس الأول، اليوم الأربعاء، تعازيه لشعب تايوان، التي شهدت زلزالا بقوة 6 درجات ع</t>
  </si>
  <si>
    <t>الشكوك تحوم مشاركة ميسي في مباراة الأرجنتين أمام إيطاليا  .  تحوم الشكوك حول مشاركة ليونيل</t>
  </si>
  <si>
    <t>اختبار قدرة مع اليونان..  .  ** لا يجوز خوض مباراة اليونان بتشكيل مختلف عن مباراة البرتغال، وإنما بتغييرات محدودة تحافظ على الهيك</t>
  </si>
  <si>
    <t>ترامب وولى عهد أبوظبى يتفقان على السعى لوحدة الخليج  .  ــ أمير قطر يستهل زيارته لأمريكا بلقاء الجنرال فوتيل.. والدوحة تعلن مشاركتها فى القمة العربية بالريا</t>
  </si>
  <si>
    <t>مقتل فلسطيني وإصابة آخر في قصف إسرائيلي على غزة  .  ذكر تقرير إخباري أن فلسطينيا قتل وأصيب آخر جراء قصف إسرائيلي على شرق حي الشجاعية بقطاع غزة</t>
  </si>
  <si>
    <t>النمسا تتغنى بفوزها التاريخي على ألمانيا  .  كان المستشار النمساوي زباستيان كورتس</t>
  </si>
  <si>
    <t>قصف إسرائيلي لعدة أهداف في غزة  .  قصفت مقاتلات إسرائيلية أهدافًا لحركتي «حماس» و«الجهاد» في قطاع غزة، صباح الثلاثاء، حسبما ذكرت فضائية</t>
  </si>
  <si>
    <t>«روسيا»: مفاوضات طائرات «سو - 35» جارية مع السودان  .  صرح السفير الروسي لدى السودان فلاديمير جيلتوف، بأن المفاوضات حول شراء السودان لطائرات «سو - 35» جاري</t>
  </si>
  <si>
    <t>طلاب الهندسة.. «ملائكة التمر»  .  يظهرون قبل أن يرفع المؤذن آذان المغرب على جانبى طريقى المحور والدائرى حاملين العصائر والتمور والمياه</t>
  </si>
  <si>
    <t>الرئيس الإيراني في أوروبا لحشد الدعم للاتفاق النووي  .  غادر الرئيس الإيراني حسن روحاني طهران، اليوم الاثنين، متوجهًا إلى سويسرا والنمسا في مسعى لحشد دعم أو</t>
  </si>
  <si>
    <t>تقرير - فرنسا وبلجيكا.. لقاء بصبغة هجومية واضحة في نهائي قبل الأوان بالمونديال  .  ينتظر عشاق الساحرة المستديرة حول العالم،</t>
  </si>
  <si>
    <t>قوات إسرائيلية تعتقل 12 فلسطينيا من الضفة الغربية  .  اعتقلت قوات إسرائيلية، فجر اليوم الأربعاء، 12 فلسطينيا من مناطق مختلفة في الضفة الغربية</t>
  </si>
  <si>
    <t>جزر القمر تفرض التعادل على الكاميرون في أول ظهور لسيدورف  .  فرض منتخب جزر القمر التعادل مع الكاميرون ، ضمن منافسات الجولة الثانية لتصفيات كأس الأمم الإفريقية 20</t>
  </si>
  <si>
    <t xml:space="preserve">«تواضروس»: الزيارات إلى فلسطين توقفت وسمحنا بها لأولادنا بطلب من «أبو مازن»  .  قال قداسة البابا تواضروس الثاني، بابا الإسكندرية بطريرك الكرازة المرقسية: "إنه منذ عام 1967 إسرائيل </t>
  </si>
  <si>
    <t>العثور على «التوت ذي الإبر»  في نيوزيلاندا بعد أستراليا  .  انتقل الخوف من وجود إبر خياطة في التوت الأرضي من أستراليا إلى نيوزيلندا، بعد العثور على إبر في مجموع</t>
  </si>
  <si>
    <t>الأردن: لا نمتلك تاريخا محددا لفتح الحدود مع سوريا  .  قالت وزيرة الدولة لشؤون الإعلام والاتصال، المتحدث باسم الحكومة الأردنية جمانة غنيمات، اليوم الأحد، إ</t>
  </si>
  <si>
    <t>قطر تستعد لتنظيم بطولة العالم للجمباز بمشاركة إسرائيلية  .  بدأ العد التنازلي لانطلاق بطولة العالم للجمباز الفني «قطر 2018» في نسختها الثامنة والأربعين والتي تس</t>
  </si>
  <si>
    <t>رئيس وزراء اليابان يبحث نزاعا إقليميا مع الرئيس الروسي في سنغافورة  .  من المقرر أن يناقش رئيس وزراء اليابان، شينزو آبي نزاعا إقليميا ثنائيا مع الرئيس الروسي، فلاديمير بوت</t>
  </si>
  <si>
    <t>شركة إسرائيلية ترفض مزاعم تورطها في ملاحقة «خاشقجي» قبل مقتله  .  اتهم الموظف السابق لدى الاستخبارات الأمريكية، إدوارد سنودين، إحدى الشركات الإسرائيلية العاملة في قطا</t>
  </si>
  <si>
    <t>السودان يؤكد انسياب الصادرات الحيوانية إلى السعودية  .  أكد وزير الثروة الحيوانية والسمكية السوداني، آدم عبد الكريم دقاش، انسياب الصادرات للمملكة العربية ال</t>
  </si>
  <si>
    <t>رئيس غينيا الاستوائية يصل إلى السودان في زيارة رسمية تستغرق يومين  .  وصل رئيس جمهورية غينيا الاستوائية، تيودرو أوبيانج نجوما مباسوجو، اليوم الإثنين، إلى الخرطوم في زيارة</t>
  </si>
  <si>
    <t>اليوم.. العالم يترقب بطل كوبا ليبرتادوريس في مباراة «سوبر كلاسيكو» بنكهة إسبانية  .  بعد أكثر من أسبوعين على تأجيل اللقاء المرتقب بين الغريمين الأرجنتينيين،</t>
  </si>
  <si>
    <t>رئيس الوزراء الأردني يبحث مع كبار المسؤولين الأمريكيين التعاون المشترك  .  بحث رئيس الوزراء الأردني الدكتور عمر الرزاز ووفد وزاري مرافق له في العاصمة الأمريكية واشنطن، مع كبار</t>
  </si>
  <si>
    <t xml:space="preserve">روسيا: تعيين دبلوماسي أمريكي «لاستعادة الديمقراطية في فنزويلا» محاولة للسيطرة عليها  .  اعتبرت المتحدثة باسم وزارة الخارجية الروسية ماريا زاخاروفا أن تعيين دبلوماسي أمريكي سابق مسئولاً عن </t>
  </si>
  <si>
    <t>إصابة 4 من الشرطة الإسرائيلية خلال اشتباكات مع إثيوبيين محتجين  .  اشتبك إثيوبيون إسرائيليون، أمس الأربعاء، مع قوات الشرطة بعد أن تحول احتجاج سلمي على وحشية الشرطة إلى</t>
  </si>
  <si>
    <t>الكويت والدنمارك تبحثان سبل تعزيز التعاون الثنائي  .  بحث رئیس مجلس الأمة الكویتي مرزوق علي الغانم، اليوم الثلاثاء، مع رئیس</t>
  </si>
  <si>
    <t>طائرات حربية إسرائيلية تغير على أهداف في غزة  .  شنت طائرات حربية إسرائيلية، فجر اليوم الخميس، غارات على أهداف في قطاع غزة، دون أن يتم الإبلاعغ عن وق</t>
  </si>
  <si>
    <t>رئيس الوزراء الإيطالي: خطة الحزام والطريق الصينية قد تكون مفيدة لإيطاليا  .  قال جوزيبي كونتي رئيس الوزراء الإيطالي، أمس الجمعة، إن خطة ”الحزام والطريق“ الصينية للبنية التحتية ق</t>
  </si>
  <si>
    <t>الصين تبدي استياءها من تقرير أمريكي حول هونج كونج  .  أعربت الصين اليوم الجمعة، عن استيائها، ورفضها الشديدين لتقرير أصدرته الحكومة الأمريكية حول "هونج كون</t>
  </si>
  <si>
    <t>الكويت وأمريكا تبحثان مستجدات الأوضاع الإقليمية والدولية  .  بحث أمير الكويت الشيخ صباح الأحمد الجابر الصباح مع وزير الخارجية الأمريكي مايك بومبيو، مستجدات الأوض</t>
  </si>
  <si>
    <t>السبسي: لا نعلم شيئا عن صفقة القرن.. والجولان لن تكون إسرائيلية بجرة قلم  .  كشف الرئيس التونسي، الباجي قايد السبسي، عن موقف بلاده تجاه «صفقة القرن»، قائلًا إن تونس لا تعلم شيئً</t>
  </si>
  <si>
    <t>فرنسا تعتزم تنظيم مسابقة في الهندسة المعمارية لإعادة بناء برج كاتدرائية نوتردام  .  أعلن رئيس الوزراء الفرنسي إدوار فيليب، اليوم الأربعاء، أن باريس سوف تنظم مسابقة</t>
  </si>
  <si>
    <t>السفير الأمريكي لدى الكويت: لم نطلب من الكويت تعويض نقص النفط الإيراني  .  أكد السفير الأمريكي لدى الكويت لورانس سيلفرمان أن واشنطن لم تطلب من الكويت، تعويض النقص في سوق النفط</t>
  </si>
  <si>
    <t>وزير خارجية باكستان: الولايات المتحدة لم تفرض قيودا على منح التأشيرة لمواطنينا  .  نفى وزير الخارجية الباكستاني شاه محمود قريشي اليوم الثلاثاء ما تردد حول قيام الولايات المتحدة بفرض ق</t>
  </si>
  <si>
    <t>العين الإماراتي يضم البرازيلي كايو من الوصل  .  أعلن نادي العين الإمارتي اليوم الأربعاء تعاقده مع البرازيلي كايو كانيدو مهاجم الوصل الإماراتي</t>
  </si>
  <si>
    <t xml:space="preserve">أرقام تاريخية.. وقياسية من لقاء مالي وموريتانيا  .  شهدت مباراة المنتخب المالي أمام موريتانيا، مساء اليوم الإثنين، مجموعة من الأرقام القياسية في النسخة </t>
  </si>
  <si>
    <t>تونسي متهم بصناعة قنبلة بيولوجية في ألمانيا يدعي أن لديه مشكلات نفسية  .  خرج متهم تونسي بتصنيع قنبلة تحتوي على مواد بيولوجية في ألمانيا عن صمته للمرة الأولى أثناء جلسة محاكم</t>
  </si>
  <si>
    <t>بالفيديو.. الجزائريون يحتفلون بفوز منتخبهم في باريس والشرطة الفرنسية تتدخل  .  عرضت فضائية «روسيا اليوم»، اليوم الجمعة، مقطع فيديو يظهر احتفالات الجزائريين بفوز منتخبهم في شوارع ب</t>
  </si>
  <si>
    <t>محكمة برازيلية توجّه شركة «بتروبراس» بتزويد سفينتين إيرانيتين بالوقود  .  منحت المحكمة العليا في البرازيل الضوء الأخضر لشركة النفط البرازيلية المملوكة للدولة "بتروبراس" لتزوي</t>
  </si>
  <si>
    <t>ترامب: سوف ألتقي بالرئيس الإيراني في الوقت المناسب  .  جدد الرئيس الأمريكي، دونالد ترامب، اتهامه لإيران بدعم الإرهاب، مشيرًا إلى أنها الدولة الأولى الراعية</t>
  </si>
  <si>
    <t>رغم أضراره المتعددة.. شاحنات توزع «القات» يوميا بشوارع إثيوبيا  .  يُعتبر القات مادة مخدرة تنبت فى العديد من البلدان مثل شرق وشمال إفريقيا واليمن، ويُسمح باستخدامه وتد</t>
  </si>
  <si>
    <t xml:space="preserve">بابا الفاتيكان يتحدث عن بطالة الشباب في جزر موريشيوس  .  وصل بابا الفاتيكان فرنسيس الأول إلى بورت لويس عاصمة جزر موريشيوس اليوم الاثنين في آخر محطة في جولته </t>
  </si>
  <si>
    <t>ترامب يصف البلاغ المقدم ضده والمتورط فيه أوكرانيا بـ«السخيف»  .  قلل الرئيس الأمريكي، دونالد ترامب، من أهمية بلاغ قُدم ضده لاستخدامه الأموال والنفوذ الأمريكية بغرض ا</t>
  </si>
  <si>
    <t>باراك أوباما يزور سنغافورة مع قرينته ديسمبر القادم  .  يزور الرئيس الأمريكي السابق باراك أوباما، وزوجته ميشيل، سنغافورة، حيث سيلقي كل منهما محاضرة تنظمها م</t>
  </si>
  <si>
    <t>قائد كوت ديفوار: جاهزون لمواجهة نيجيريا وهدفنا بطاقة العبور لأولمبياد طوكيو  .  قال ديالو إسماعيل، قائد منتخب كوت ديفوار، إن اللاعبون جاهزون لمواجهة نيجيريا المقرر لها غدًا، السبت</t>
  </si>
  <si>
    <t>مقتل 3 جنود باكستانيين جراء انفجار لغم قرب الحدود مع أفغانستان  .  أعلن الجيش الباكستاني، اليوم الأربعاء، مقتل ثلاثة من جنوده جراء انفجار لغم مستهدفا مركبة عسكرية شمال</t>
  </si>
  <si>
    <t>لودي: «لقد تطورت كثيرًا بفضل سيميوني»  .  كشف الجناح الدولي لمنتخب البرازيل والذي سيشارك مع منتخب بلاده أمام كوريا الجنوبية، عن دور مدربه في أ</t>
  </si>
  <si>
    <t xml:space="preserve">تفجير قرب قاعدة «باجرام» العسكرية الأمريكية في أفغانستان  .  ذكر مسؤولون أن تفجيرا بسيارة مفخخة استهدف منشأة بالقرب من أكبر قاعدة عسكرية أمريكية في أفغانستان في </t>
  </si>
  <si>
    <t>نيويورك تايمز: تردد ترامب في استخدام القوة في الشرق الأوسط قد يمثل فرصة سانحة لإيران  .  قال مسؤولون في الإدارة الأمريكية إنهم يسعون لاستعادة استراتيجية "الردع" لمعاقبة إيران، بيد أن تردد ا</t>
  </si>
  <si>
    <t>إيران تحتجز السفير البريطاني وتتهمه بالتحريض على الاحتجاجات  .  ذكرت وكالة أنباء تسنيم الإيرانية أن السلطات احتجزت مبعوثا بريطانيا لعدة سا</t>
  </si>
  <si>
    <t>تونس والهند تبحثان الأوضاع الإقليمية والدولية وتوقعان مذكرة تفاهم في مجال الاتصال  .  بحثت تونس والهند أوجه التعاون المشترك بين البلدين والأوضاع الإقليمية والدولية، كما وقعت البلدان مذكر</t>
  </si>
  <si>
    <t>بالفيديو.. لقطات من معقل «كورونا» القاتل في الصين  .  عرضت فضائية «روسيا اليوم» مقطع فيديو يرصد لقطات من مدينة ووهان معقل انتشار فيروس كورونا القاتل في ال</t>
  </si>
  <si>
    <t>انهيار الحكومة النرويجية إثر جدل تسلم سيدة مشتبهة بدعم الإرهاب من سوريا  .  انهارت الحكومة النرويجية بعد انسحاب حزب التقدم اليميني الشعبوي، وذلك إثر جدال أثاره تسلم البلاد لسيد</t>
  </si>
  <si>
    <t>صحيفة أمريكية: «أوبك» تبذل جهودا لإقرار خفض في إنتاج النفط لمواجهة كورونا  .  كشفت صحيفة "وول ستريت جورنال" الأمريكية ، أن المملكة العربية السعودية تتزعم جهودا حالية داخل منظمة ا</t>
  </si>
  <si>
    <t>مساعد وزير الخارجية الأسبق: زيارة الرئيس لمينسك أسست خريطة طريق للعلاقات الثنائية  .  قال السفير محمد حجازي، مساعد وزير الخارجية الأسبق، إن «بيلاروسيا من البلدان التي كانت جزءً من الاتحا</t>
  </si>
  <si>
    <t>بسبب كورونا.. إرجاء تصوير الجزء السابع من فيلم «مهمة مستحيلة» في إيطاليا  .  أعلنت شركة الإنتاج السينمائي الأمريكية "باراماونت بيكتشرز" إرجاء تصوير الجزء السابع من فيلم "مهمة مس</t>
  </si>
  <si>
    <t>سوريا تعلن تسجيل حالة إصابة جديدة بكورونا لشخص قادم من الإمارات  .  أعلنت الحكومة السورية اليوم السبت تسجيل إصابة جديدة بفيروس كورونا لشخص قادم من دولة الإمارات العربية</t>
  </si>
  <si>
    <t>PER LBN</t>
  </si>
  <si>
    <t>ARE BHR</t>
  </si>
  <si>
    <t>PAK YEM</t>
  </si>
  <si>
    <t>JOR OMN</t>
  </si>
  <si>
    <t>QAT USA</t>
  </si>
  <si>
    <t>ISR TUN</t>
  </si>
  <si>
    <t>ETH YEM</t>
  </si>
  <si>
    <t>VAT PSE</t>
  </si>
  <si>
    <t>GBR PSE</t>
  </si>
  <si>
    <t>KWT SAU</t>
  </si>
  <si>
    <t>IRQ ISR</t>
  </si>
  <si>
    <t>GBR SLE</t>
  </si>
  <si>
    <t>USA KWT</t>
  </si>
  <si>
    <t>FRA TUR</t>
  </si>
  <si>
    <t>BRA ZAF</t>
  </si>
  <si>
    <t>NOR SYR</t>
  </si>
  <si>
    <t>BEL USA</t>
  </si>
  <si>
    <t>GBR QAT</t>
  </si>
  <si>
    <t>GHA ISR</t>
  </si>
  <si>
    <t>DZA RUS</t>
  </si>
  <si>
    <t>VAT TWN</t>
  </si>
  <si>
    <t>ARG ITA</t>
  </si>
  <si>
    <t>GRC PRT</t>
  </si>
  <si>
    <t>AUT DEU</t>
  </si>
  <si>
    <t>RUS SDN</t>
  </si>
  <si>
    <t>SGP USA</t>
  </si>
  <si>
    <t>IND MAR</t>
  </si>
  <si>
    <t>CHE AUT</t>
  </si>
  <si>
    <t>FRA BEL</t>
  </si>
  <si>
    <t>COM CMR</t>
  </si>
  <si>
    <t>QAT ISR</t>
  </si>
  <si>
    <t>JPN SGP</t>
  </si>
  <si>
    <t>SDN SAU</t>
  </si>
  <si>
    <t>GNQ SDN</t>
  </si>
  <si>
    <t>CUB ARG</t>
  </si>
  <si>
    <t>RUS VEN</t>
  </si>
  <si>
    <t>ETH ISR</t>
  </si>
  <si>
    <t>KWT DNK</t>
  </si>
  <si>
    <t>FRA IND</t>
  </si>
  <si>
    <t>ARE BRA</t>
  </si>
  <si>
    <t>TUN IND</t>
  </si>
  <si>
    <t>MLI MRT</t>
  </si>
  <si>
    <t>VAT MUS</t>
  </si>
  <si>
    <t>CIV NGA</t>
  </si>
  <si>
    <t>BRA KOR</t>
  </si>
  <si>
    <t>SYR ARE</t>
  </si>
  <si>
    <t xml:space="preserve">افتتاح الدورة الرابعة من مهرجان الأفلام الفنية الوثائقية في بيروت  .  بعد انطلاقة خارج أسوار السينما التقليدية تجول خلالها بين مدارس لبنان وجامعاتها، افتتح ”مهرجان بيروت </t>
  </si>
  <si>
    <t>Royaume-Uni : première condamnation à une peine de prison pour des ressortissants de retour de Syrie. Un tribunal britannique a condamné deux frères à une peine de prison après les avoir reconnus coupables de s'être entraînés dans des camps appartenant à des « organisations terroristes »</t>
  </si>
  <si>
    <t>Les États-Unis lancent 15 frappes aériennes près du barrage de Mossoul en Irak.  L'armée américaine a annoncé que ses avions de combat avaient mené 15 frappes aériennes lundi contre des combattants de l'État islamique.</t>
  </si>
  <si>
    <t>Malgré ses nombreux effets néfastes, des camions distribuent quotidiennement du « khat » dans les rues d’Éthiopie. Le khat est une substance psychoactive qui pousse dans de nombreux pays, notamment en Afrique de l’Est et du Nord ainsi qu’au Yémen, et son usage est autorisé et</t>
  </si>
  <si>
    <t>Le Premier ministre japonais aborde un différend territorial avec le président russe à Singapour.  Le Premier ministre japonais, Shinzo Abe, doit discuter d’un différend territorial bilatéral avec le président russe, Vladimir Poutine</t>
  </si>
  <si>
    <t>. Trump appelle le Conseil de sécurité à renouveler le mandat sur les armes chimiques en Syrie.  Le président américain Donald Trump a appelé le Conseil de sécurité de l'ONU à prolonger le mandat accordé à l'équipe d'enquête sur les attaques</t>
  </si>
  <si>
    <t>Bombardement israélien de plusieurs cibles à Gaza  .  Des avions de combat israéliens ont bombardé des cibles du Hamas et du Jihad islamique dans la bande de Gaza mardi matin, selon la chaîne</t>
  </si>
  <si>
    <t>Incursion israélienne près de la frontière de Khan Yunis  .  Des témoins palestiniens ont rapporté que plusieurs véhicules blindés israéliens ont pénétré ce jeudi matin en territoire palestinien</t>
  </si>
  <si>
    <t xml:space="preserve">Barack Obama se rendra à Singapour avec son épouse en décembre prochain  .  L'ancien président américain Barack Obama et son épouse Michelle se rendront à Singapour, où ils donneront chacun une conférence organisée par </t>
  </si>
  <si>
    <t>Le Koweït et le Danemark examinent les moyens de renforcer leur coopération bilatérale. Le président de l'Assemblée nationale koweïtienne, Marzouq Ali Al-Ghanim, a discuté ce mardi avec le président</t>
  </si>
  <si>
    <t>présidents des fondations sunnite et chiite d'Irak : le cheikh d'Al-Azhar nous a promis d'inviter les oulémas irakiens au dialogue.  .  Israël est le bénéficiaire du terrorisme qui sévit dans la région... Il n'y a pas de crise entre sunnites et chiites et il faut tourner la page avec les pays de la</t>
  </si>
  <si>
    <t>Le pape du Vatican appelle à la reconnaissance de deux États indépendants, palestinien et israélien.  Le pape François, pape du Vatican, a déclaré que l'humanité célèbre Noël le jour où souffle le vent de l'</t>
  </si>
  <si>
    <t>La Corée du Nord critique le Premier ministre japonais  .  La Corée du Nord a critiqué ce jeudi le Premier ministre japonais Shinzo Abe pour ne pas avoir présenté d'excuses concernant l'</t>
  </si>
  <si>
    <t>Le club émirati Al-Ain recrute le Brésilien Caio, en provenance d'Al-Wasl  .  Le club émirati d'Al-Ain a annoncé ce mercredi avoir signé le Brésilien Caio Canedo, attaquant du club émirati Al-Wasl</t>
  </si>
  <si>
    <t>La Syrie annonce un nouveau cas de coronavirus chez une personne en provenance des Émirats  .  Le gouvernement syrien a annoncé ce samedi un nouveau cas de coronavirus chez une personne en provenance des Émirats arabes unis</t>
  </si>
  <si>
    <t>À cause du coronavirus... Report du tournage du septième volet de la série « Mission impossible » en Italie. La société de production cinématographique américaine « Paramount Pictures » a annoncé le report du tournage du septième volet de la série « Mission impossible »</t>
  </si>
  <si>
    <t xml:space="preserve">Des milliers d’Iraniens se rassemblent pour commémorer le siège de l’ambassade américaine à Téhéran.  Des militants iraniens ont manifesté lundi pour commémorer la prise de l'ambassade américaine à Téhéran en 1979, signe que </t>
  </si>
  <si>
    <t xml:space="preserve">New York Times : les hésitations de Trump à recourir à la force au Moyen-Orient pourraient constituer une aubaine pour l'Iran.  Des responsables de l'administration américaine ont déclaré qu'ils cherchaient à rétablir la stratégie de « dissuasion » pour sanctionner l'Iran, mais l'hésitation de </t>
  </si>
  <si>
    <t>Premier cas d'Ebola diagnostiqué en Grande-Bretagne  .  Pour la première fois, un cas d'Ebola a été diagnostiqué en Grande-Bretagne, où une femme en provenance de la Sierra Leone a été transportée mardi à l'hôpital</t>
  </si>
  <si>
    <t>Le président de la Guinée équatoriale arrive au Soudan pour une visite officielle de deux jours. Le président de la République de Guinée équatoriale, Teodoro Obiang Nguema Mbasogo, est arrivé ce lundi à Khartoum pour une visite</t>
  </si>
  <si>
    <t xml:space="preserve">Début des pourparlers de paix au Yémen en Suisse en vue d’une solution durable.  Les consultations entre les parties au conflit ont débuté ce mardi dans un lieu tenu secret en Suisse, sous l'égide des Nations unies </t>
  </si>
  <si>
    <t>Comment le Brésil a-t-il réussi à réduire la pauvreté et les inégalités ?  .  Lors du Forum mondial des sciences sociales, qui s'est tenu à Durban en Afrique du Sud en septembre 2015, les participants ont</t>
  </si>
  <si>
    <t>Essebsi : Nous ne savons rien de l’« accord du siècle »… et le Golan ne deviendra pas israélien d’un simple trait de plume. Le président tunisien, Beji Caid Essebsi, a dévoilé la position de son pays vis-à-vis de l’« accord du siècle », affirmant que la Tunisie n’en savait rien</t>
  </si>
  <si>
    <t>Une entreprise israélienne rejette les allégations selon lesquelles elle aurait été impliquée dans la traque de « Khashoggi » avant son assassinat.  L'ancien employé des services de renseignement américains, Edward Snowden, a accusé une entreprise israélienne opérant en Égypte</t>
  </si>
  <si>
    <t>L'Iran détient l'ambassadeur britannique et l'accuse d'incitation à la manifestation. L'agence de presse iranienne Tasnim a rapporté que les autorités avaient détenu l'envoyé britannique pendant plusieurs jours</t>
  </si>
  <si>
    <t>Des doutes planent sur la participation de Messi au match de l'Argentine contre l'Italie.  Des doutes planent sur la participation de Lionel</t>
  </si>
  <si>
    <t>L'Égypte salue l'exclusion des colonies des accords de coopération européens avec Israël  .  L'Égypte a salué ce jeudi la décision de l'Union européenne d'exclure les colonies israéliennes de Cisjordanie et de Jérusalem-Est</t>
  </si>
  <si>
    <t>Le président iranien en Europe pour rallier des soutiens à l'accord sur le nucléaire  .  Le président iranien Hassan Rohani a quitté Téhéran ce lundi pour se rendre en Suisse et en Autriche dans le but de rallier des soutiens ou</t>
  </si>
  <si>
    <t>Trump : je rencontrerai le président iranien en temps voulu. Le président américain Donald Trump a réitéré ses accusations contre l'Iran de soutien au terrorisme, soulignant qu'il s'agit du premier État à le parrainer</t>
  </si>
  <si>
    <t>Le pape du Vatican s'exprime sur le chômage des jeunes à l'île Maurice. Le pape François est arrivé ce lundi à Port-Louis, la capitale de l'île Maurice, pour la dernière étape de sa tournée</t>
  </si>
  <si>
    <t>L'ambassadeur américain au Koweït : « Nous n'avons pas demandé au Koweït de compenser le manque de pétrole iranien ». L'ambassadeur américain au Koweït, Lawrence Silverman, a affirmé que Washington n'avait pas demandé au Koweït de compenser le manque de pétrole sur le marché</t>
  </si>
  <si>
    <t>La Grande-Bretagne exprime son inquiétude face aux tests de la Russie dans son espace aérien  .  La Grande-Bretagne a déclaré lundi qu’elle était préoccupée par la forte augmentation des vols militaires russes au-dessus de son territoire</t>
  </si>
  <si>
    <t>Le capitaine de la Côte d’Ivoire : « Nous sommes prêts à affronter le Nigeria et notre objectif est de décrocher notre billet pour les Jeux olympiques de Tokyo »  .  Diallo Ismaïl, capitaine de l'équipe de Côte d'Ivoire, a déclaré que les joueurs étaient prêts à affronter le Nigeria lors du match prévu demain, samedi</t>
  </si>
  <si>
    <t>Les autorités israéliennes arrêtent 10 adolescents palestiniens  .  Les autorités israéliennes ont arrêté lundi dix adolescents palestiniens âgés de 15 à 17 ans pour</t>
  </si>
  <si>
    <t>La Tunisie et l'Inde examinent la situation régionale et internationale et signent un protocole d'accord dans le domaine des télécommunications.  La Tunisie et l'Inde ont examiné les aspects de la coopération entre les deux pays ainsi que la situation régionale et internationale, et les deux pays ont signé un protocole</t>
  </si>
  <si>
    <t>Secouristes : 7 Palestiniens tués lors d'une frappe aérienne israélienne sur la bande de Gaza.  Des secouristes ont déclaré que « sept Palestiniens ont été tués lors d’une frappe aérienne israélienne, ce qui représente le plus grand nombre de victimes en une seule attaque</t>
  </si>
  <si>
    <t>Le Koweït libère quatre personnes accusées de collusion avec l’Iran et le Hezbollah  .  Un tribunal koweïtien a ordonné mardi la libération sous caution de quatre personnes arrêtées pour « collusion avec l’Iran et le Hezbollah lib</t>
  </si>
  <si>
    <t>«Hamas» : nous respecterons une trêve de trois jours à Gaza à compter d’aujourd’hui, pour autant que l’autre partie s’y conforme.  Le Mouvement de la résistance islamique, «Hamas», a déclaré qu’il «respectera une trêve réciproque avec Israël pendant trois jours, à compter de</t>
  </si>
  <si>
    <t xml:space="preserve">Washington «inquiet» du déploiement de missiles antiaériens russes en Syrie.  Un haut responsable américain a annoncé mercredi que l'annonce par la Russie de son intention de déployer des missiles antiaériens très sophistiqués en </t>
  </si>
  <si>
    <t>Test de capacité avec la Grèce...  .  ** Il ne faut pas aborder le match contre la Grèce avec une composition différente de celle du match contre le Portugal, mais avec des changements limités qui préservent la structure</t>
  </si>
  <si>
    <t>Un journal américain : « L'OPEP » s'efforce d'adopter une réduction de la production de pétrole pour faire face au coronavirus.  .  Le journal américain « The Wall Street Journal » a révélé que l'Arabie saoudite menait actuellement des efforts au sein de l'organisation</t>
  </si>
  <si>
    <t>Chute du gouvernement norvégien suite à la controverse autour de l'accueil d'une femme soupçonnée de soutenir le terrorisme en provenance de Syrie.  Le gouvernement norvégien s'est effondré après le retrait du Parti du progrès, un parti populiste de droite, à la suite d'une polémique suscitée par l'accueil par le pays d'un homme</t>
  </si>
  <si>
    <t xml:space="preserve">L'Organisation pour la sécurité et la coopération en Europe envoie une mission d'observation en Ukraine.  Des diplomates ont déclaré que les pays de l'Organisation pour la sécurité et la coopération en Europe, y compris la Russie, ont adopté vendredi une résolution à l'unanimité, </t>
  </si>
  <si>
    <t>La France prévoit d'organiser un concours d'architecture pour la reconstruction de la flèche de la cathédrale Notre-Dame. Le Premier ministre français Édouard Philippe a annoncé ce mercredi que Paris organiserait un concours</t>
  </si>
  <si>
    <t xml:space="preserve">La « Flotte de la liberté » s'approche des côtes de Gaza... et Israël surveille ses mouvements.  La « Flotte de la liberté 3 », composée de navires transportant des militants pro-palestiniens visant à briser le blocus israélien sur </t>
  </si>
  <si>
    <t>Le Koweït et les États-Unis examinent les derniers développements de la situation régionale et internationale.  L'émir du Koweït, Cheikh Sabah Al-Ahmad Al-Jaber Al-Sabah, a discuté avec le secrétaire d'État américain Mike Pompeo des derniers développements de la situation</t>
  </si>
  <si>
    <t xml:space="preserve">Quatre policiers israéliens blessés lors d'affrontements avec des manifestants éthiopiens  .  Des Israéliens d'origine éthiopienne se sont affrontés mercredi avec les forces de police après qu'une manifestation pacifique contre les brutalités policières a dégénéré en </t>
  </si>
  <si>
    <t>Football Italia : Maradona utilise un faux passeport. Le réseau « Football Italia » a confirmé ce lundi que la légende argentine Diego Maradona</t>
  </si>
  <si>
    <t>Découverte de « fraises à aiguilles »  en Nouvelle-Zélande après l’Australie  .  La crainte de la présence d’aiguilles à coudre dans les fraises s’est propagée de l’Australie à la Nouvelle-Zélande, après la découverte d’aiguilles dans un lot</t>
  </si>
  <si>
    <t xml:space="preserve">Kerry se rend en Turquie pour renforcer la campagne contre l’État islamique  .  Le ministère turc des Affaires étrangères a déclaré que le secrétaire d’État américain John Kerry se rendra en Turquie demain, vendredi, dans le cadre d’une visite </t>
  </si>
  <si>
    <t>sur le divan d’un psychiatre. J’ai lu une déclaration du Premier ministre britannique David Cameron sur les événements de Gaza ; il était naturel et habituel que cela suscite de vives émotions</t>
  </si>
  <si>
    <t>Huit membres des Forces démocratiques syriennes ont été tués lors d’une attaque de l’« État islamique » dans la campagne de Deir ez-Zor. L’Observatoire syrien des droits de l’homme, basé à Londres, a fait état de la mort de huit membres des Forces démocratiques syriennes (FDS) lors d’une attaque</t>
  </si>
  <si>
    <t>Le ministre des Affaires étrangères du Pakistan : les États-Unis n’ont pas imposé de restrictions sur l’octroi de visas à nos citoyens. Le ministre pakistanais des Affaires étrangères, Shah Mahmood Qureshi, a démenti ce mardi les rumeurs selon lesquelles les États-Unis auraient imposé des</t>
  </si>
  <si>
    <t xml:space="preserve">Une explosion près de la base militaire américaine de « Bagram » en Afghanistan.  Des responsables ont indiqué qu'un attentat à la voiture piégée avait visé une installation située près de la plus grande base militaire américaine en Afghanistan à </t>
  </si>
  <si>
    <t>Des chiffres historiques... et des records lors du match entre le Mali et la Mauritanie  .  Le match opposant l'équipe du Mali à la Mauritanie, lundi soir, a donné lieu à une série de records dans cette édition</t>
  </si>
  <si>
    <t>La coalition coupe les routes utilisées par les djihadistes entre l’Irak et la Syrie. La coalition internationale contre l’organisation extrémiste «État islamique» a annoncé avoir coupé les routes utilisées par les djihadistes entre la Syrie et</t>
  </si>
  <si>
    <t>«Kerry» se rend en Belgique vendredi. Le secrétaire d’État américain John Kerry se rendra vendredi en Belgique pour présenter officiellement les condoléances des États-Unis après l’</t>
  </si>
  <si>
    <t>Un Tunisien accusé d’avoir fabriqué une bombe biologique en Allemagne affirme souffrir de troubles psychologiques  .  Un Tunisien accusé d’avoir fabriqué une bombe contenant des agents biologiques en Allemagne a rompu son silence pour la première fois lors d’une audience</t>
  </si>
  <si>
    <t xml:space="preserve">« Tawadros » : les visites en Palestine ont été suspendues et nous les avons autorisées pour nos enfants à la demande d'« Abu Mazen »  .  Sa Sainteté le pape Tawadros II, pape d'Alexandrie et patriarche de la Chaire de Saint-Marc, a déclaré : « Depuis 1967, Israël </t>
  </si>
  <si>
    <t>Ouverture de la quatrième édition du Festival du film documentaire d'art à Beyrouth. Après un lancement hors des murs du cinéma traditionnel, au cours duquel il a fait le tour des écoles et des universités libanaises, le « Festival de Beyrouth » a ouvert ses portes</t>
  </si>
  <si>
    <t>Bachara évince les Égyptiens de la chaîne Al-Arabiya.  Des sources au sein de la chaîne Al-Arabiya, qui diffuse depuis la capitale britannique Londres grâce à un financement qatari, ont révélé une nouvelle orientation de la direction</t>
  </si>
  <si>
    <t>Le Pakistan libère l’ancien numéro deux des talibans afghans. Un haut responsable gouvernemental a annoncé ce mardi que les autorités pakistanaises libéreraient prochainement l’ancien bras droit de</t>
  </si>
  <si>
    <t>Vidéo... « Al-Musallamani » : la prétendue guerre entre Israël et l’Iran n’est qu’un « coup médiatique »  .  Le journaliste Ahmed Al-Musallamani a déclaré que la guerre qu’Israël prétend mener contre l’Iran n’est pas une « guerre », mais un « coup médiatique</t>
  </si>
  <si>
    <t>La Chine exprime son mécontentement face à un rapport américain sur Hong Kong  .  La Chine a exprimé ce vendredi son mécontentement et son rejet catégorique d’un rapport publié par le gouvernement américain sur « Hong Kong</t>
  </si>
  <si>
    <t xml:space="preserve">Trump qualifie de « ridicule » la plainte déposée contre lui et impliquant l’Ukraine  .  Le président américain, Donald Trump, a minimisé l’importance d’une plainte déposée contre lui pour avoir utilisé les fonds et l’influence des États-Unis dans le but de </t>
  </si>
  <si>
    <t>La Corée du Nord diffuse une vidéo de propagande montrant une « frappe nucléaire » sur Washington. La Corée du Nord a diffusé samedi une vidéo de propagande montrant une frappe nucléaire sur Washington, puis a menacé la Corée du Sud de lancer</t>
  </si>
  <si>
    <t>Tamer Amin : 30 enfants interpellés lors du match Égypte-Ghana en possession de drapeaux israéliens. Le journaliste Tamer Amin a salué ce qu’il a qualifié de « performance remarquable » des forces de sécurité lors du match Égypte-Ghana, qui s’est déroulé hier</t>
  </si>
  <si>
    <t xml:space="preserve">Le Premier ministre italien : le projet chinois « Belt and Road » pourrait être bénéfique pour l’Italie.  Le Premier ministre italien Giuseppe Conte a déclaré vendredi que le projet d'infrastructure chinois « Belt and Road » pourrait </t>
  </si>
  <si>
    <t xml:space="preserve">Vidéo : les Algériens célèbrent la victoire de leur équipe à Paris et la police française intervient.  La chaîne « Russia Today » a diffusé ce vendredi une vidéo montrant les célébrations des Algériens après la victoire de leur équipe nationale dans les rues de </t>
  </si>
  <si>
    <t>Jordanie : nous n’avons pas de date précise pour l’ouverture de la frontière avec la Syrie. La ministre d’État chargée des Affaires médiatiques et de la Communication, porte-parole du gouvernement jordanien, Jumana Ghunaimat, a déclaré ce dimanche que</t>
  </si>
  <si>
    <t>Journaux saoudiens : la visite royale en Russie débouchera sur de nombreuses visions consensuelles concernant les questions régionales.  Les journaux saoudiens ont mis l’accent, dans leurs éditoriaux de ce jeudi, sur de nombreux dossiers et questions d’actualité nationale et</t>
  </si>
  <si>
    <t>Le pape exprime ses condoléances au peuple taïwanais à la suite du tremblement de terre  .  Le pape François a adressé ce mercredi ses condoléances au peuple taïwanais, qui a été frappé par un séisme de magnitude 6</t>
  </si>
  <si>
    <t xml:space="preserve">En vidéo... Images du foyer du « coronavirus » mortel en Chine. La chaîne « Russia Today » a diffusé une vidéo montrant des images de la ville de Wuhan, foyer de propagation du coronavirus mortel en </t>
  </si>
  <si>
    <t xml:space="preserve">Russie : la nomination d’un diplomate américain pour « rétablir la démocratie au Venezuela » est une tentative de prendre le contrôle du pays.  La porte-parole du ministère russe des Affaires étrangères, Maria Zakharova, a estimé que la nomination d'un ancien diplomate américain à la tête de </t>
  </si>
  <si>
    <t>Trois soldats pakistanais tués dans l'explosion d'une mine près de la frontière avec l'Afghanistan  .  L'armée pakistanaise a annoncé ce mercredi la mort de trois de ses soldats à la suite de l'explosion d'une mine visant un véhicule militaire au nord</t>
  </si>
  <si>
    <t>Des avions de combat israéliens frappent des cibles à Gaza  .  Des avions de combat israéliens ont lancé, à l'aube ce jeudi, des frappes sur des cibles dans la bande de Gaza, sans qu'aucun</t>
  </si>
  <si>
    <t>Rapport - France et Belgique... Une rencontre à caractère clairement offensif dans une finale avant l'heure de la Coupe du monde.  Les amateurs du ballon rond du monde entier attendent avec impatience,</t>
  </si>
  <si>
    <t>L'Autriche célèbre sa victoire historique contre l'Allemagne  .  Le chancelier autrichien Sebastian Kurz</t>
  </si>
  <si>
    <t>Aujourd'hui... Le monde attend avec impatience le champion de la Copa Libertadores lors d'un « Super Clásico » aux accents espagnols  .  Plus de deux semaines après le report du match tant attendu entre les deux rivaux argentins,</t>
  </si>
  <si>
    <t>Trump et le prince héritier d'Abou Dhabi s'accordent pour œuvrer à l'unité du Golfe  .  — L'émir du Qatar entame sa visite aux États-Unis par une rencontre avec le général Votel... et Doha annonce sa participation au sommet arabe à Riyad</t>
  </si>
  <si>
    <t>Un Palestinien tué et un autre blessé lors d’un bombardement israélien sur Gaza. Un reportage indique qu’un Palestinien a été tué et un autre blessé lors d’un bombardement israélien sur l’est du quartier de Shuja’iya, dans la bande de Gaza</t>
  </si>
  <si>
    <t>La France met en garde ses ressortissants en Turquie après l’attentat suicide à la frontière syrienne.  La France a appelé ses ressortissants en Turquie à redoubler de vigilance après l'attentat suicide perpétré dans la ville de Suruç, au sud du pays, près de la frontière syrienne</t>
  </si>
  <si>
    <t>Le Qatar se prépare à organiser les Championnats du monde de gymnastique avec la participation d'Israël. Le compte à rebours a commencé pour le coup d'envoi des Championnats du monde de gymnastique artistique « Qatar 2018 », dans leur 48e édition, qui</t>
  </si>
  <si>
    <t>Ancien assistant du ministre des Affaires étrangères : la visite du président à Minsk a établi une feuille de route pour les relations bilatérales. L'ambassadeur Mohamed Hegazi, ancien assistant du ministre des Affaires étrangères, a déclaré que « la Biélorussie fait partie des pays qui faisaient partie de l'Union</t>
  </si>
  <si>
    <t>Mardi... Le Conseil des Églises du Moyen-Orient élit quatre nouveaux présidents  .  Les membres du Conseil des Églises du Moyen-Orient éliront demain matin, mardi, dans la capitale jordanienne Amman,</t>
  </si>
  <si>
    <t>Les Comores arrachent le match nul face au Cameroun pour les débuts de Seedorf  .  L'équipe des Comores a arraché le match nul face au Cameroun, lors de la deuxième journée des qualifications pour la Coupe d'Afrique des nations 20</t>
  </si>
  <si>
    <t>« La présence européenne aux Émirats et à Bahreïn » lors d’une conférence au Centre culturel de Bahreïn  .  Le Centre culturel Isa organise, mercredi soir prochain, une conférence intitulée « La présence européenne aux Émirats et à Bahreïn »</t>
  </si>
  <si>
    <t xml:space="preserve">En vidéo… Manifestations à Londres contre la sortie de l’Union européenne  .  La chaîne « Russia Today » a diffusé samedi soir des images des manifestations qui ont eu lieu aujourd’hui dans la capitale britannique, Londres, contre la sortie de l’Union européenne. </t>
  </si>
  <si>
    <t>Un Palestinien tué après avoir tenté de poignarder un soldat israélien aux abords de Naplouse.  L'armée israélienne a tué dimanche un Palestinien après qu'il eut tenté de poignarder un soldat aux abords de la ville de Naplouse, au nord de la Cisjordanie</t>
  </si>
  <si>
    <t>Le Premier ministre jordanien discute de la coopération conjointe avec de hauts responsables américains  .  Le Premier ministre jordanien, le Dr Omar al-Razzaz, et la délégation ministérielle qui l'accompagnait ont discuté, à Washington, avec de hauts</t>
  </si>
  <si>
    <t>La Chine affirme sa volonté de coopérer avec Washington lors de la première rencontre entre les ministres des Affaires étrangères des deux pays. Pékin a exprimé sa « volonté » de coopérer avec l’administration du président américain Donald Trump, a confirmé le ministre des Affaires étrangères chinois</t>
  </si>
  <si>
    <t>Un tribunal brésilien ordonne à la société « Petrobras » d’approvisionner en carburant deux navires iraniens.  La Cour suprême du Brésil a donné son feu vert à la compagnie pétrolière publique brésilienne « Petrobras » pour approvisionner</t>
  </si>
  <si>
    <t xml:space="preserve">Le ministre koweïtien de la Défense : la sécurité de l’Arabie saoudite et des pays du CCG fait partie intégrante de notre sécurité  .  Cheikh Mohammed Al-Khaled Al-Hamad Al-Sabah a déclaré que la sécurité de l'Arabie saoudite et des pays du Conseil de coopération du Golfe </t>
  </si>
  <si>
    <t>Obama condamne le « meurtre barbare » de l'otage américain au Yémen. Le président américain Barack Obama a condamné samedi le meurtre du journaliste américain Luke Somers au Yémen lors d'une opération ratée visant à</t>
  </si>
  <si>
    <t>Les forces israéliennes arrêtent 12 Palestiniens en Cisjordanie.  Les forces israéliennes ont arrêté, à l'aube ce mercredi, 12 Palestiniens dans différentes régions de la Cisjordanie</t>
  </si>
  <si>
    <t>Les étudiants en ingénierie… « les anges des dattes »  .  Ils apparaissent avant que le muezzin n'appelle à la prière du Maghrib, de part et d'autre des routes de l'Axe et du Périphérique, portant des jus, des dattes et de l'eau</t>
  </si>
  <si>
    <t xml:space="preserve">Vidéo… « Haridi » : l'acceptation par n'importe quel pays arabe d'accueillir des camps pour l'opposition syrienne entraînera le chaos dans le monde arabe. En réaction aux déclarations du président américain Barack Obama concernant l'accord de l'Arabie saoudite d'accueillir la formation de l'opposition </t>
  </si>
  <si>
    <t>Irak : Maliki confirme que des avions syriens ont bombardé des positions des militants de Daech à la frontière.  Le Premier ministre irakien, Nouri al-Maliki, a confirmé à la BBC que la Syrie avait mené des frappes aériennes contre les combattants de l'organisation « État</t>
  </si>
  <si>
    <t>Lodi : « J'ai beaucoup progressé grâce à Simeone ».L'ailier international de l'équipe du Brésil, qui jouera avec son équipe nationale contre la Corée du Sud, a révélé le rôle de son entraîneur dans</t>
  </si>
  <si>
    <t>Le Soudan confirme la poursuite des exportations de bétail vers l’Arabie saoudite  . Le ministre soudanais de l'Élevage et de la Pêche, Adam Abdelkarim Dakash, a confirmé la poursuite des exportations vers l'Arabie saoudite</t>
  </si>
  <si>
    <t>« Russie » : les négociations sur les avions « Su-35 » sont en cours avec le Soudan. L'ambassadeur russe au Soudan, Vladimir Giltov, a déclaré que les négociations concernant l'achat par le Soudan d'avions « Su-35 » sont en cours</t>
  </si>
  <si>
    <t>PER</t>
  </si>
  <si>
    <t>AFG</t>
  </si>
  <si>
    <t>HKG</t>
  </si>
  <si>
    <t>روسیه به ترکیه هشدار داد  .  همشهری آنلاین:وزارت امور خارجه روسیه هشدار داد ترکیه باید از هرگونه اقدامی که باعث بی‌ثباتی در سوری</t>
  </si>
  <si>
    <t xml:space="preserve">کلمبیا به دور دوم جام جهانی صعود کرد  .  همشهری آنلاین:دیدار دو تیم کلمبیا و سنگال در جام جهانی از ساعت ۱۸:۳۰ دقیقه شروع شد که این دیدار با </t>
  </si>
  <si>
    <t>چامسکی: عربستان مرکز افراط گرایی در جهان است  .  همشهری آنلاین:نوام چامسکی نویسنده و اندیشمند مشهور آمریکایی از عربستان سعودی به عنوان مرکز افراط گر</t>
  </si>
  <si>
    <t xml:space="preserve">واکنش ویلموتس به شکست مقابل عراق |  مقابل بحرین و عراق بدشانسی آوردیم  .  سرمربی تیم ملی فوتبال ایران گفت: همه تلاشمان را برای بازی‌های خانگی و همچنین مسابقه خارج از خانه در </t>
  </si>
  <si>
    <t>پیروزی دلاوری و روزبهانی در اولین مبارزه  .  همشهری آنلاین:جاسم دلاوری و احسان روزبهانی به ترتیب نمایندگان کشورهای چین و بوتان را مغلوب کردند.</t>
  </si>
  <si>
    <t>آغاز به کار دولت وحدت ملی در جمهوری کنگو  .  همشهری آنلاین:جوزف کابیلا، رییس دولت در جمهوری دموکراتیک کنگو دولت وحدت ملی را معرفی کرد.</t>
  </si>
  <si>
    <t>ارتش ترکیه مدعی رهگیری جنگنده‌های این کشور از سوی سوریه شد  .  همشهری آنلاین:ستاد مشترک ارتش ترکیه بار دیگر با انتشار اطلاعیه ای ادعا کرد که جنگنده های این کشور ا</t>
  </si>
  <si>
    <t>کابل و اسلام‌آباد برای اقدام علیه گروه‌های مسلح توافق کردند  .  همشهری‌آنلاین:فرمانده ارتش پاکستان در کابل با رهبران افغانستان دیدار کرد؛ دیداری که در آن طرفین نسب</t>
  </si>
  <si>
    <t>عکس روز:‌ آمریکا، انگلیس و رژیم صهیونیستی در قفس  .  همشهری آنلاین:۳ مرد با کلاه‌های به رنگ پرچم آمریکا، انگلیس و رژیم صهیونیستی درون قفس در تظاهراتی د</t>
  </si>
  <si>
    <t>ریزش بورس‌ها از ترس ویروس چینی  .  بیشتر شاخص‌های مهم بورسی در اروپا و آمریکا با ریزش بسته شدند.</t>
  </si>
  <si>
    <t>آمادگی تایلند برای میزبانی نشست ترامپ و اون  .  همشهری‌آنلاین:وزیر خارجه تایلند از آمادگی کشورش برای میزبانی مذاکرات آتی میان رهبران آمریکا و کره‌ش</t>
  </si>
  <si>
    <t>مصرف پروتئین در وعده صبحانه به کنترل گرسنگی کمک می‌کند  .  همشهری آنلاین: تحقیقات دانشگاهی در آمریکا نشان می‌دهد خوردن مواد غذایی حاوی پروتئین مانند تخم مرغ د</t>
  </si>
  <si>
    <t>مارادونا سرمربی یک تیم مکزیکی شد  .  همشهری آنلاین:ستاره سابق تیم ملی فوتبال آرژانتین هدایت تیم دورادوس دکولیاکان را بر عهده گرفت.</t>
  </si>
  <si>
    <t>محکومیت جهانی جنایت صهیونیست‌ها علیه غزه  .  همشهری آنلاین:سازمان ملل، عفو بین‌الملل و جمعی از کشورهای جهان در بیانیه‌ها و اظهارات جداگانه کشتار</t>
  </si>
  <si>
    <t xml:space="preserve">عکس روز: پیکار فلسطینیان  .  همشهری آنلاین:جوانان نقابدار فلسطینی در حین زدو خورد با نیروهای رژیم صهیونیستی در روز ۱۰ اکتبر (۱۸ </t>
  </si>
  <si>
    <t>دوران پایان رژیم صهیونیستی آغاز شده است  .  همشهری آنلاین:سفیر فلسطین در جمهوری اسلامی ایران در مجلس با تشکر از حمایت های مادی و معنوی ملت هایی</t>
  </si>
  <si>
    <t>ترکیه سه روزنامه‌نگار آلمانی را اخراج کرد  .  همشهری آنلاین:دولت ترکیه سه نفر از خبرنگاران و روزنامه‌نگاران آلمانی را اخراج کرد.</t>
  </si>
  <si>
    <t>انتقاد شدید عراقچی از اقدام اخیر سه کشور اروپایی  .  معاون سیاسی وزیر امور خارجه کشورمان در دیدار سفیر کرواسی در تهران، که کشورش ریاست دوره ای اتحادیه ار</t>
  </si>
  <si>
    <t>اعلام تحریم‌های جدید اتحادیه اروپا علیه روسیه و جدایی‌طلبان اوکراین  .  همشهری آنلاین:اتحادیه اروپا تحریم‌های جدیدی را علیه روسیه و جدایی‌طلبان اوکراین مقرر کرد. نمایندگان</t>
  </si>
  <si>
    <t>سید حسن نصرالله: هیچ خط قرمزی در جنگ با اسرائیل نداریم  .  همشهری‌آنلاین:دبیرکل حزب الله لبنان با بیان اینکه مقاومت لبنان برای رویارویی با دشمن صهیونیستی کامل</t>
  </si>
  <si>
    <t>داوداوغلو: جسد خلبان روس آماده تحویل به روسیه است  .  همشهری آنلاین:احمد داوداوغلو، نخست وزیر ترکیه اعلام کرد جسد خلبان روس به ترکیه آورده شده و آماده تح</t>
  </si>
  <si>
    <t>چهارمین مهاجر هم در بازداشتگاه‌های مرزی آمریکا جان باخت  .  همشهری آنلاین:یک مرد مهاجر ۴۰ ساله مکزیکی در مرکز مرزی آمریکا جان خود را از دست داد تا آمار مهاجرا</t>
  </si>
  <si>
    <t>میلیون‌ها نفر در مسیر طوفان شدید هند و بنگلادش  .  با نزدیک شدن طوفان آمفان بارش شدید باران و وزش تندباد در شرق هند و بنگلادش گزارش شده است.</t>
  </si>
  <si>
    <t>ملاقات نمایندگان ایران و رژیم صهیونیستی شایعه بی‌اساس است  .  همشهری آنلاین:دبیر شورای عالی امنیت ملی گفت: افزایش خشونت رژیم صهیونیستی علیه مردم مظلوم غزه و کران</t>
  </si>
  <si>
    <t>نظر محمودی درباره همگروهی با برزیل و روسیه/ وحشتناک‌ است؛ از این سخت‌تر نمی‌شود  .  همشهری آنلاین:شهرام محمودی با بیان اینکه هم‌گروه شدن ایران با روسیه و برزیل وحشناک‌ است گفت؛ قرعه ا</t>
  </si>
  <si>
    <t xml:space="preserve">عراقچی: در صورت ارائه تضمین‌های قطعی حفظ برجام ممکن خواهد بود  .  همشهری آنلاین:سید عباس عراقچی، در دیدار با یک دیپلمات ارشد روسیه گفت: در صورت ارائه تضمین‌های قطعی </t>
  </si>
  <si>
    <t xml:space="preserve">برونو متسو درگذشت  .  همشهری آنلاین:سرمربی سابق الوصل قطر و تیم ملی فوتبال سنگال که در زمانی شایعه حضورش در ایران نیز بر </t>
  </si>
  <si>
    <t xml:space="preserve">فیلم | برخورد جالب پوتین با سرباز فلسطینی گارد تشریفات که کلاهش افتاد  .  مردم فلسطین برخورد محترمانه رئیس جمهوری روسیه با یکی از افسران گارد استقبال فلسطینی که در زمان سفرش </t>
  </si>
  <si>
    <t>رژیم صهیونیستی در محاصره القاعده  .  گروه بین‌الملل: درحالی‌که مذاکرات ژنو ۲ با همه جنجال‌های تبلیغاتی آن برای حل و فصل بحران سوریه بدون</t>
  </si>
  <si>
    <t>استفاده از کیسه‌ و نی پلاستیکی در چین ممنوع می‌شود  .  استفاده از کیسه‌ها و سایر محصولات پلاستیکی یکبار مصرف در چین که یکی از بزرگترین مصرف‌کنندگان پلاستیک</t>
  </si>
  <si>
    <t>ظریف: حضورمان در سوریه هم قانونی و هم مشروع است  .  همشهری آنلاین:وزیر امورخارجه گفت: ما به درخواست دولت عراق از طریق مشاوران خود کمک می کنیم، ما به در</t>
  </si>
  <si>
    <t>ژاپن واردات نفت از ایران را ۳۵ درصد افزایش داد  .  همشهی آنلاین:ژاپن، علی‌رغم تحریم‌های ضدایرانی آمریکا و کشورهای غربی، واردات نفت از ایران را ۳۵ درصد</t>
  </si>
  <si>
    <t>حمایت کنفدراسیون فوتبال آسیا از طرح جنجالی سعودی‌ها  .  همشهری آنلاین:رئیس بحرینی کنفدراسیون فوتبال آسیا (AFC) از طرح جنجالی عربستان سعودی برای تشکیل فدراس</t>
  </si>
  <si>
    <t>سفر پاپ به ارمنستان خشم ترکیه را برخواهد انگیخت  .  همشهری‌آنلاین:پاپ فرانسیس، رهبر کاتولیک‌های جهان فردا جمعه ۴ تیرماه در شرایطی در چارچوب سفر سه روزه</t>
  </si>
  <si>
    <t>کره شمالی: آمریکا ناقض بزرگ حقوق بشر است  .  همشهری‌انلاین:رسانه دولتی کره شمالی چهارشنبه یازدهم بهمن دولت دونالد ترامپ، رئیس‌ جمهور آمریکا را ن</t>
  </si>
  <si>
    <t>تعیین هویت ۱۶۶ جان‌باخته سانحه سقوط هواپیما | همه اتباع اوکراینی و افغانستانی شناسایی شدند  .  مدیرکل پزشکی قانونی استان تهران از شناسایی ۱۶۶ پیکر جان‌باخته حادثه سقوط هواپیمای اوکراینی خبر داد و</t>
  </si>
  <si>
    <t>دمپسی: همکاری ایران و آمریکا در عراق غیرممکن نیست  .  همشهری آنلاین:رییس ستاد مشترک ارتش آمریکا گفت که اگرچه اهداف ایران و آمریکا در عراق یکسان نیست، احت</t>
  </si>
  <si>
    <t>۱۸ مرداد؛ تجمع جامعه قرآنی در حمایت از مردم مظلوم غزه  .  همشهری آنلاین:جامعه قرآنی کشور برای اعلام انزجار از جنایات رژیم غاصب صهیونیستی و حمایت از مردم مظلو</t>
  </si>
  <si>
    <t>کره شمالی به زودی یک سلاح استراتژیک جدید آزمایش می‌کند  .  سفیر روسیه در کره شمالی می‌گوید پیونگ یانگ به زودی یک سلاح استراتژیک جدید را آزمایش می‌کند که در حال</t>
  </si>
  <si>
    <t>ژاپن به انرژی هسته ای بر می گردد  .  همشهری آنلاین:خبرگزاری فرانسه روز سه شنبه در گزارشی از توکیو به نقل از وزیر صنعت، تجارت و اقتصاد ژا</t>
  </si>
  <si>
    <t xml:space="preserve">سفر جنجالی اردوغان به آمریکا  .  رجب طیب اردوغان، رئیس‌جمهور ترکیه این روزها حتی اگر هزاران کیلومتر پرواز کند و برای شرکت در یک نشست </t>
  </si>
  <si>
    <t>جولیان آسانژ بنیانگذار ویکی‌لیکس | بازجویی در سفارت اکوادور  .  همشهری آنلاین:دولت‌های سوئد و اکوادور توافق کردند تا «جولیان آسانژ» بنیانگذار سایت افشاگر ویکی‌لیکس</t>
  </si>
  <si>
    <t xml:space="preserve">فوتبال هفت نفره جهان/ آرژانتین؛ ایران با شکست برزیل به نیمه نهایی راه یافت  .  همشهری آنلاین:تیم ملی فوتبال هفت نفره کشورمان با شکست تیم برزیل در رقابت‌های مرحله دوم، موفق شد به </t>
  </si>
  <si>
    <t xml:space="preserve">مقابله با ایران محور گفت‌وگوی سلمان و ترامپ  .  همشهری‌آنلاین:محمد بن سلمان، جانشین ولیعهد عربستان سعودی و دونالد ترامپ،رئیس جمهور آمریکا در دیدار </t>
  </si>
  <si>
    <t xml:space="preserve">همه‌پرسی در شرق اوکراین بدون حضور ناظران مستقل  .  همشهری‌آنلاین:جدایی‌طلبان در شرق اوکراین همه پرسی  برای استقلال این منطق و پیوستن به روسیه را بدون </t>
  </si>
  <si>
    <t xml:space="preserve">غزه، شهری که ویران شد  .  همزمان با مخالفت رژیم صهیونیستی با برقراری آتش‌بس ۷ روزه و اکتفا به برقراری آرامشی نیم روزه در نوار </t>
  </si>
  <si>
    <t>پوتین سیاست تحریمی آمریکا را گستاخی بی حد و پایان خواند  .  همشهری آنلاین:ولادیمیر پوتین رئیس جمهوری روسیه با انتقاد از تصویب طرح جدید تحریم این کشور در مجلس ن</t>
  </si>
  <si>
    <t>پادشاه عربستان سعودی به تاجیکستان دعوت شد  .  همشهری آنلاین:در دیدار وزیر امور خارجه تاجیکستان در ریاض با معاون نخست‌وزیر و وزیر دفاع عربستان سعو</t>
  </si>
  <si>
    <t>۵۵ کیلومتر، ۲۰ میلیارد دلار و دوربین خمیازه | شش نکته کلیدی درباره طولانی‌ترین پل دریایی دنیا  .  همشهری آنلاین:طولانی‌ترین پل دریایی دنیا بندرهای هنگ‌کنگ و ماکائو را به ۱۱ شهر در سرزمین اصلی چین و</t>
  </si>
  <si>
    <t>جایگزین اروپایی سوئیفت  .  در شرایطی که تلاش آمریکا برای مسدودسازی دسترسی ایران به شبکه مبادلات مالی، سوئیفت، شدت گرفته، این رو</t>
  </si>
  <si>
    <t xml:space="preserve">پوتین : جنگ اوکراین تقصیر غرب است  .  با شدت گرفتن درگیری‌ها میان ارتش اوکراین و جدایی‌طلبان شرق این کشور، جنگ لفظی مقامات سیاسی از روسیه </t>
  </si>
  <si>
    <t xml:space="preserve">اظهارات تند مورگان علیه رونالدو | او با پول همه چیز را پنهان می‌کند  .  همشهری آنلاین:مهاجم تیم ملی فوتبال زنان آمریکا اعلام کرد ستاره پرتغالی می‌تواند با پول همه چیز را </t>
  </si>
  <si>
    <t xml:space="preserve">دولت ژاپن خرید تجهیزات هواوی و ZTE را ممنوع می‌کند  .  همشهری آنلاین:ژاپن قصد دارد خرید تجهیزات از دو شرکت چینی هواوی و زدتی‌ای را برای مجموعه‌های دولتی </t>
  </si>
  <si>
    <t>کشیدن روزانه یک سیگار هم کشنده است  .  محققان مؤسسه ملی سرطان آمریکا هشدار می‌دهند که کشیدن حتی یک نخ سیگار در روز احتمال مرگ زودهنگام را ا</t>
  </si>
  <si>
    <t>یونانی‌ها در تهران کنسرت می‌دهد  .  همشهری‌انلاین:نوازندگان یونانی به مناسبت عید سعید قربان به تهران خواهند آمد و با همراهی هنرمندان ای</t>
  </si>
  <si>
    <t>پیرترین نامزد اسکار | بانوی افسانه‌ای سینمای فرانسه درگذشت  .  همشهری آنلاین:آنیس واردا، فیلمساز فرانسوی زاده بلژیک و مادر موج نوی سینمای فرانسه پس از حدود شش ده</t>
  </si>
  <si>
    <t>شورش اطلاعاتی اروپا علیه آمریکا  .  گروه بین‌الملل: صدر اعظم آلمان پیشنهاد کرده است در اروپا، شبکه‌های اطلاعاتی مستقلی ایجاد شود تا نیا</t>
  </si>
  <si>
    <t xml:space="preserve">ابزاری برای جنگ‌سرد فرهنگی  .  سیدحسین امامی:پروژه «اسلام‌هراسی» جریانی است که از سوی برخی نهادهای آمریکا و انگلستان با دقت طراحی </t>
  </si>
  <si>
    <t>آخرین آمار رسمی کرونا در ایران و جهان | ترکیه از ایران پیشی گرفت؛ افغانستان رکورد زد | افزایش ابتلا در ایران  .  تعداد مبتلایان به بیماری کووید۱۹ در سراسر جهان به بیش از ۶ میلیون و ۵۲۰ هزار نفر رسید و شمار مرگ‌های</t>
  </si>
  <si>
    <t>تلاش روسیه برای رابطه برابر با آمریکا  .  گروه بین‌الملل- عبدالله آلبوغبیش:روابط روسیه و آمریکا در هفته‌های اخیر به دلایل متعدد دچار نوعی سرد</t>
  </si>
  <si>
    <t>احتمال جدایی بشار رسن از پرسپولیس  .  سایت عراقی پیش بینی کرد که با توجه به مشکلات مالی که پرسپولیس دارد بشار رسن از این تیم جدا شود.</t>
  </si>
  <si>
    <t>گزارش راشا تودی درباره آزادسازی کوبانی  .  منابع خبری کردهای سوریه و مخالفان خارج‌نشین، از آزادی شهر کوبانی از اشغال داعش و تسلط کامل نیروهای ک</t>
  </si>
  <si>
    <t>روسیه از نظر ناتو یک تهدید است  .  همشهری‌آنلاین:ینس استولتنبرگ ،دبیر کل ناتو گفت:از نظر ناتو ،روسیه به خاطر اقداماتش در شرق اوکراین ی</t>
  </si>
  <si>
    <t>آمریکای نامطمئن و غیرقابل اعتماد، به هیچ‌یک از تعهدات خود پایبند نیست  .  همشهری آنلاین:رئیس‌جمهوری در دیدار وزیر خارجه کره شمالی گفت عملکرد آمریکا در سال‌‌های اخیر و عدم پا</t>
  </si>
  <si>
    <t>روزهای مجاز فعالیت تجاری در مرز مهران مشخص می‌شود  .  استاندار ایلام با بیان اینکه مقامات عراقی اعلام کرده‌اند که اجازه می‌دهند ۲ روز در هفته در مرز مهران</t>
  </si>
  <si>
    <t xml:space="preserve">ایمیل‌های تیم گذار ترامپ به دست مولر افتاد  .  همشهری‌آنلاین:رابرت مولر، بازرس ویژه تحقیقات دخالت روسیه در انتخابات آمریکا به ده‌ها هزار ایمیل از </t>
  </si>
  <si>
    <t>عبدالله صالح به دنبال مجوز شورای امنیت برای سفر به کوبا  .  همشهری‌آنلاین:علی عبدالله صالح، رئیس جمهور پیشین یمن از شورای امنیت خواست تا به او اجازه سفر به کوب</t>
  </si>
  <si>
    <t xml:space="preserve">فوری /  تصاویر سقوط هواپیمای بوئینگ 777 در سانفرانسیسکو  .  همشهری آنلاین:یک هواپیمای مسافربری خطوط هوایی آسیانا که از سئول کره جنوبی عازم آمریکا بود روز شنبه </t>
  </si>
  <si>
    <t>پیروزی 8 گله پرسپولیس در قطر |  گلزنی اساگونا و دبل استوکس  .  نکته مهم در این بازی گلزنی اوساگونا و دبل استوکس بود.به نظر می‌رسد مهاجم ایرلندی رفته رفته به امادگی</t>
  </si>
  <si>
    <t>سفارت روسیه در لندن اقدام انگلیس را خصمانه خواند  .  همشهری آنلاین:خبرگزاری فرانسه از لندن گزارش داد: سفارت روسیه در لندن روز چهارشنبه تصمیم انگلیس در و</t>
  </si>
  <si>
    <t xml:space="preserve">افشای ابعادی جدید درباره مرگ مشکوک مشاور پوتین در آمریکا  .  همشهری آنلاین:رسانه های روسیه از ابعاد جدید مرگ مشکوک میخاییل لسین مشاور پوتین در آمریکا خبر دادند </t>
  </si>
  <si>
    <t>ویروس کرونا به آلمان هم رسید  .  اولین مورد از ابتلا به ویروس کورونای جدید چینی در آلمان ثبت شد.</t>
  </si>
  <si>
    <t xml:space="preserve">تجاوز رژیم صهیونیستی به منطقه غزه همچنان ادامه دارد  .  همشهری آنلاین:رژیم صهیونیستی از نیمه شب جمعه تا کنون بیش از ۲۰ بار نوار غزه را هدف حملات هوایی خود </t>
  </si>
  <si>
    <t xml:space="preserve">واکنش ملا عمر به انتخابات افغانستان  .  همشهری آنلاین:رهبر طالبان پاکستان در پیامی به مناسبت عید فطر با رد انتخابات ریاست جمهوری افغانستان </t>
  </si>
  <si>
    <t>تغییرات قیمتی طلا و سکه تا چند روز آینده  .  همشهری‌آنلاین:‌عوامل سیاسی ورفع نگرانی‌ها در عراق و اوکراین از عوامل مهم کاهش قیمت طلا در هفته گذشت</t>
  </si>
  <si>
    <t>حبس ابد برای یک بریتانیایی در امارات به جرم جاسوسی  .  همشهری آنلاین:دادگاهی در امارات متحده عربی یک بریتانیایی را به جرم جاسوسی به حبس ابد محکوم کرد.</t>
  </si>
  <si>
    <t xml:space="preserve">ایران قهرمان مسابقات تکواندوی جام فجر در تهران شد  .  همشهری آنلاین:در پایان بیست و هفتمین دوره مسابقات جام فجر تیم‌های ایران، افغانستان و روسیه بر سکوی </t>
  </si>
  <si>
    <t>بان‌کی مون: آمریکا فرصت دهد بازرسان گزارش دهند  .  همشهری آنلاین:دبیرکل سازمان ملل متحد با بیان اینکه بازرسان این سازمان شبنه (۹ شهریور) از دمشق بازمی</t>
  </si>
  <si>
    <t>توافق آمریکا و روسیه برای آماده‌سازی مقدمات کنفرانس ژنو ۲  .  همشهری آنلاین:سرگئی لاوروف اعلام کرد که در دیدار وزرای خارجه و دفاع روسیه و آمریکا این توافق حاصل ش</t>
  </si>
  <si>
    <t>جنگ تجاری در سفره خانوار | هزینه آمریکایی‌ها هزار دلار بالا می‌رود  .  همشهری آنلاین:دولت آمریکا از روز یکشنبه اعمال تعرفه ۱۰ درصدی بر واردات ۱۱۲ میلیارد دلار کالای چینی</t>
  </si>
  <si>
    <t>روسیه: برکناری بشار اسد دیگر پیش شرط آمریکا نیستت  .  همشهری آنلاین:گنادی گاتیلوف معاون وزارت خارجه روسیه با اعلام اینکه آمریکا بر خلاف گذشته دیگر برای ب</t>
  </si>
  <si>
    <t>اسکیت هاکی جهانی | ایتالیا؛ دومین برد پرگل ایران  .  همشهری آنلاین:دومین برد متوالی ملی‌پوشان اسکیت هاکی ایران رقم خورد. ایران ۸ بر ۰ ماکائو را شکست داد</t>
  </si>
  <si>
    <t>مک کین صدای مصری‌ها را درآورد  .  همشهری آنلاین:مشاور رسانه‌ای رییس جمهور مصر با انتقاد از اظهارات سناتور جمهوری‌خواه آمریکایی درباره</t>
  </si>
  <si>
    <t>فیس بوک صدها اکانت ضد قطر، ایران و ترکیه را حذف کرد | اماراتی و عربستانی بودند  .  همشهری آنلاین: فیسبوک اعلام کرد صدها اکانت جعلی را از پلتفورم‌های مختلف خود حذف کرده است. این اکان</t>
  </si>
  <si>
    <t>آغاز مذاکرات مستقیم طرف‌های یمنی در کویت  .  همشهری آنلاین:سخنگوی فرستاده ویژه سازمان ملل در یمن روز شنبه از آغاز مذاکرات مستقیم طرف‌های حاضر در</t>
  </si>
  <si>
    <t>ترامپ و تهدید چین در مذاکرات تجاری  .  همشهری آنلاین:ترامپ مدعی شد تا زمانی که چین به اقداماتی که آمریکا آن را محکوم می‌کند خاتمه ندهد، ا</t>
  </si>
  <si>
    <t>ایران برای گردشگران خارجی امن است  .  معاون کنسولی و پارلمانی وزارت خارجه گفت: در چند سال گذشته شاید در آمریکا، کانادا و اروپا برای گردشگر</t>
  </si>
  <si>
    <t>بمب افکن‌های روسیه از سوریه بازگشتند  .  همشهری آنلاین:کاهش حضور نظامی روسیه در سوریه پس از آتش بس برقرار شده در این کشور آغاز شده است و چند</t>
  </si>
  <si>
    <t>آغاز پخش خانم وزیر با کارگردانی مورگان فریمن  .  همشهری آنلاین:مورگان فریمن با کارگردانی سریال «خانم وزیر» امشب در شبکه سی‌بی‌اس آمریکا دیده می‌شود.</t>
  </si>
  <si>
    <t>انفجار بمب در مسیراتوبوس حامل زائران شیعه پاکستان  .  همشهری آنلاین:انفجار بمب در مسیر اتوبوس حامل زائران شیعه پاکستانی که از مرز ایران به سوی کویته مرکز</t>
  </si>
  <si>
    <t>جایزه رسانه‌ای آلمان و فرانسه به یورگن هابرماس اهدا شد  .  همشهری آنلاین:جایزه رسانه‌ای سال ۲۰۱۸ آلمان و فرانسه به  فیلسوف نام‌آشنای آلمانی یورگن هابرماس تعلق</t>
  </si>
  <si>
    <t>روحانی: مقاومت ملت‌های ایران و ونزوئلا و به شکست کشاندن توطئه‌های آمریکا تحسین برانگیز است  .  همشهری آنلاین:رئیس جمهور مقاومت ملت‌های ایران و ونزوئلا و به شکست کشاندن توطئه های آمریکا را تحسین</t>
  </si>
  <si>
    <t>رهاسازی ۱۵۵ لاک‌پشت بزرگ در مجمع‌الجزایر گالاپاگوس  .  همشهری آنلاین:وزارت محیط زیست اکوادور اعلام کرد: ۱۵۵ لاک‌پشت بزرگ و جوان که بومی مجمع‌الجزایر گالا</t>
  </si>
  <si>
    <t>محکومیت حمله به راهپیمایی روز قدس در نیجریه از سوی وزارت‌خارجه  .  همشهری آنلاین:سخنگوی وزارت امور خارجه حمله مسلحانه به تظاهر کنندگان راهپیمائی روز قدس در شهر زاریای</t>
  </si>
  <si>
    <t xml:space="preserve">دو تابلوی تازه کشف شده فرانسیس بیکن حراج می‌شود  .  همشهری آنلاین:دو تابلوی نقاشی از فرانسیس بیکن، نقاش فقید ایرلندی-بریتانیایی پس از کشف دوباره در یک </t>
  </si>
  <si>
    <t>اردوغان: ترکیه بعد از خروج کشورهای دیگر از سوریه عقب‌نشینی می‌کند  .  رئیس‌ جمهور ترکیه گفت که کشورش هرگز قبل از عقب‌نشینی کشورهای دیگر از سوریه خارج نخواهد شد.</t>
  </si>
  <si>
    <t>ماهیگیری که پله نجات شد  .  بانکوک: زوج سالمند نروژی هنگام پرنده‌نگری در کرانه رود کرابی (۸۱۴ کیلومتری جنوب بانکوک) اندک‌اندک در</t>
  </si>
  <si>
    <t>مقاومت اسلامی کابینه رژیم صهیونیستی را به لرزه درآورد  .  همشهری آنلاین:رحیم صفوی گفت: امروز نهضت مقاومت اسلامی در کرانه باختری و نوار غزه با الگوگیری از مق</t>
  </si>
  <si>
    <t>COL SEN</t>
  </si>
  <si>
    <t>IRQ BHR</t>
  </si>
  <si>
    <t>CHN BTN</t>
  </si>
  <si>
    <t>IRQ HRV</t>
  </si>
  <si>
    <t>LBN ISR</t>
  </si>
  <si>
    <t>IRQ RUS</t>
  </si>
  <si>
    <t>QAT SEN</t>
  </si>
  <si>
    <t>PSE RUS</t>
  </si>
  <si>
    <t>CHN EGY</t>
  </si>
  <si>
    <t>BHR SAU</t>
  </si>
  <si>
    <t>ARM TUR</t>
  </si>
  <si>
    <t>UKR AFG</t>
  </si>
  <si>
    <t>PRK RUS</t>
  </si>
  <si>
    <t>ECU SWE</t>
  </si>
  <si>
    <t>SAU TJK</t>
  </si>
  <si>
    <t>MAC CHN</t>
  </si>
  <si>
    <t>USA PRT</t>
  </si>
  <si>
    <t>GRC IND</t>
  </si>
  <si>
    <t>TUR AFG</t>
  </si>
  <si>
    <t>IRQ MLI</t>
  </si>
  <si>
    <t>CUB SYR</t>
  </si>
  <si>
    <t>IRQ IND</t>
  </si>
  <si>
    <t>CUB YEM</t>
  </si>
  <si>
    <t>QAT IRL</t>
  </si>
  <si>
    <t>DEU CHN</t>
  </si>
  <si>
    <t>IRQ UKR</t>
  </si>
  <si>
    <t>GBR ARE</t>
  </si>
  <si>
    <t>AFG RUS</t>
  </si>
  <si>
    <t>ITA MAC</t>
  </si>
  <si>
    <t>QAT TUR</t>
  </si>
  <si>
    <t>YEM KWT</t>
  </si>
  <si>
    <t>PAK KWT</t>
  </si>
  <si>
    <t>DZA ECU</t>
  </si>
  <si>
    <t>THA NOR</t>
  </si>
  <si>
    <t xml:space="preserve"> در انتظار مجازات آمریکا | دادگاه بزودی جریمه را اعلام می‌کند  .  همشهری آنلاین:شرکت تجهیزات مخابراتی ZTE چین نسبت به تأثیر مجازات‌های احتمالی آمریکا علیه این شرکت ب</t>
  </si>
  <si>
    <t>La Russie met en garde la Turquie. Hamshahri Online : Le ministère russe des Affaires étrangères a averti que la Turquie devait s'abstenir de toute action susceptible de déstabiliser la Syrie.</t>
  </si>
  <si>
    <t xml:space="preserve">La Colombie se qualifie pour les huitièmes de finale de la Coupe du monde.  Hamshahri Online : Le match de Coupe du monde opposant la Colombie au Sénégal a débuté à 18 h 30, et cette rencontre avec </t>
  </si>
  <si>
    <t>Chomsky : L'Arabie saoudite est le centre de l'extrémisme dans le monde.  Hamshahri Online : Noam Chomsky, célèbre auteur et intellectuel américain, a qualifié l'Arabie saoudite de centre de l'extrémisme.</t>
  </si>
  <si>
    <t>Réaction de Wilmots après la défaite contre l'Irak | Nous avons manqué de chance contre Bahreïn et l'Irak. Le sélectionneur de l'équipe nationale iranienne de football a déclaré : « Nous donnerons tout lors des matchs à domicile et également lors du match à l'extérieur à</t>
  </si>
  <si>
    <t>Victoire de Delavari et Rozbahani pour leur premier combat.  Hamshahri Online : Jassim Delavari et Ehsan Roozbahan ont respectivement battu les représentants de la Chine et du Bhoutan.</t>
  </si>
  <si>
    <t>Le gouvernement d'union nationale a entamé ses travaux en République du Congo. Hamshahri Online : Joseph Kabila, chef de l'État de la République démocratique du Congo, a présenté le gouvernement d'union nationale.</t>
  </si>
  <si>
    <t xml:space="preserve">L'armée turque a affirmé que ses avions de combat avaient été interceptés par la Syrie.  Hamshahri Online : L'état-major turc, dans un nouveau communiqué, a affirmé que les avions de chasse du pays…  </t>
  </si>
  <si>
    <t xml:space="preserve">Kaboul et Islamabad ont convenu de prendre des mesures contre les groupes armés.  </t>
  </si>
  <si>
    <t xml:space="preserve">Hamshahri Online : Le commandant de l'armée pakistanaise à Kaboul a rencontré les dirigeants afghans ; une réunion au cours de laquelle les deux parties…  </t>
  </si>
  <si>
    <t>Photo du jour : Les États-Unis, le Royaume-Uni et le régime sioniste dans une cage.  Hamshahri Online : Trois hommes portant des chapeaux aux couleurs des drapeaux américain, britannique et israélien à l'intérieur d'une cage lors d'une manifestation.</t>
  </si>
  <si>
    <t xml:space="preserve">Les marchés boursiers s'effondrent face aux craintes liées au virus chinois. La plupart des principaux indices boursiers en Europe et aux États-Unis ont clôturé en baisse.La Thaïlande se prépare à accueillir le sommet Trump-Kim. Hamshahri Online : Le ministre thaïlandais des Affaires étrangères déclare que son pays est prêt à accueillir les prochaines discussions entre les dirigeants des États-Unis et de la Corée du Nord.  </t>
  </si>
  <si>
    <t>Consommer des protéines au petit-déjeuner aide à contrôler la faim.  Hamshahri Online : Des recherches universitaires menées aux États-Unis montrent que la consommation d'aliments riches en protéines, tels que les œufs,</t>
  </si>
  <si>
    <t>Maradona devient entraîneur d'une équipe mexicaine. Hamshahri Online : L'ancienne star de l'équipe nationale argentine de football a pris les rênes des Dorados de Sinaloa.</t>
  </si>
  <si>
    <t>Condamnation mondiale du crime des sionistes contre Gaza.  Hamshahri Online : Les Nations unies, Amnesty International et plusieurs pays ont condamné le massacre dans des déclarations et des commentaires séparés.</t>
  </si>
  <si>
    <t>Photo du jour : La lutte palestinienne. Hamshahri Online : Des jeunes Palestiniens masqués lors d'affrontements avec les forces du régime israélien le 10 octobre (18</t>
  </si>
  <si>
    <t>L'ère de la fin du régime sioniste a commencé.  Hamshahri Online : L'ambassadeur palestinien auprès de la République islamique d'Iran, dans un discours devant le Parlement, a remercié les nations pour leur soutien matériel et moral.</t>
  </si>
  <si>
    <t xml:space="preserve">Sayyed Hassan Nasrallah : Nous n’avons pas de lignes rouges dans la guerre contre Israël.  Hamshahri Online : Le secrétaire général du Hezbollah libanais a déclaré que la résistance libanaise est pleinement prête à affronter l'ennemi sioniste.  </t>
  </si>
  <si>
    <t xml:space="preserve">Hamshahri Online : Le secrétaire du Conseil suprême de sécurité nationale a déclaré : « L'intensification de la violence du régime sioniste contre les populations opprimées de Gaza et de la Cisjordanie… »  </t>
  </si>
  <si>
    <t>Le point de vue de Mahmoudi sur le fait d'être dans le même groupe que le Brésil et la Russie : « C'est effrayant ; ça ne pourrait pas être plus difficile. »    Hamshahri Online : Shahram Mahjoubi, affirmant qu’il est horrible que l’Iran soit regroupé avec la Russie et le Brésil, a déclaré : le tirage au sort</t>
  </si>
  <si>
    <t xml:space="preserve">Zarif : Si des garanties fermes sont fournies pour préserver le JCPOA, ce sera possible. Hamshahri Online : Seyed Abbas Araghchi, lors d’une rencontre avec un haut diplomate russe, a déclaré : Si des garanties fermes sont fournies </t>
  </si>
  <si>
    <t xml:space="preserve">Bruno Metsu est décédé.  Hamshahri Online : L'ancien entraîneur du club qatari Al-Wassl et de l'équipe nationale de football du Sénégal, dont on avait autrefois évoqué l'implication en Iran, a également </t>
  </si>
  <si>
    <t xml:space="preserve"> Vidéo | La rencontre amusante de Poutine avec un garde palestinien dont la casquette est tombée.   Le peuple palestinien a été témoin de l'interaction respectueuse du président russe avec l'un des officiers de la garde d'honneur lors de sa visite. </t>
  </si>
  <si>
    <t xml:space="preserve">Corée du Nord : Les États-Unis sont le plus grand violateur des droits de l'homme.  Hamshahri Online : Les médias d'État nord-coréens ont qualifié mercredi 11 Bahman le gouvernement de Donald Trump, président des États-Unis, de </t>
  </si>
  <si>
    <t>La Corée du Nord va bientôt tester une nouvelle arme stratégique. L'ambassadeur russe en Corée du Nord affirme que Pyongyang va bientôt tester une nouvelle arme stratégique actuellement en cours de développement.</t>
  </si>
  <si>
    <t>Le Japon revient à l'énergie nucléaire.  Hamshahri Online : L'Agence France-Presse a rapporté mardi depuis Tokyo, citant le ministre de l'Industrie, du Commerce et de l'Économie, Zhā</t>
  </si>
  <si>
    <t>Le voyage controversé d'Erdogan aux États-Unis.  Recep Tayyip Erdoğan, président de la Turquie, ces jours-ci, même s'il parcourt des milliers de kilomètres pour assister à un sommet</t>
  </si>
  <si>
    <t>Julian Assange, fondateur de WikiLeaks | Interrogatoire à l'ambassade d'Équateur.  Hamshahri Online : Les gouvernements suédois et équatorien ont accepté de livrer Julian Assange, le fondateur du site de divulgation WikiLeaks.</t>
  </si>
  <si>
    <t xml:space="preserve">Football à sept / Argentine : L'Iran se qualifie pour les demi-finales après avoir battu le Brésil.  Hamshahri Online : Notre équipe nationale de football à sept, en battant le Brésil au deuxième tour, a réussi à se qualifier pour la </t>
  </si>
  <si>
    <t xml:space="preserve">Confrontation avec l'Iran au centre des discussions entre Salman et Trump  .  Hamshahri Online : Mohammed ben Salman, prince héritier adjoint d'Arabie saoudite, et Donald Trump, président des États-Unis, lors de leur rencontre </t>
  </si>
  <si>
    <t xml:space="preserve"> Référendum dans l'est de l'Ukraine sans observateurs indépendants   Hamshahri Online : Les séparatistes de l'est de l'Ukraine ont organisé un référendum sur l'indépendance de la région et son rattachement à la Russie sans </t>
  </si>
  <si>
    <t xml:space="preserve"> Gaza, la ville qui a été détruite   Au moment même où le régime sioniste s'opposait à un cessez-le-feu de sept jours et se contentait d'une accalmie d'une demi-journée dans la bande de Gaza </t>
  </si>
  <si>
    <t>Poutine : La guerre en Ukraine est la faute de l'Occident. Alors que les affrontements entre l'armée ukrainienne et les séparatistes de l'est du pays s'intensifient, des responsables politiques russes</t>
  </si>
  <si>
    <t xml:space="preserve">Les propos acerbes de Morgan à l'encontre de Ronaldo | Il cache tout derrière l'argent.  Hamshahri Online : L'attaquante de l'équipe nationale féminine américaine de football a déclaré que la star portugaise pouvait tout acheter avec de l'argent.  </t>
  </si>
  <si>
    <t>Fumer une cigarette par jour est également mortel.  Des chercheurs de l'Institut national du cancer des États-Unis avertissent que fumer ne serait-ce qu'une cigarette par jour augmente le risque de décès prématuré.</t>
  </si>
  <si>
    <t>Des Grecs se produiront à Téhéran. Hamshahri Online : Des musiciens grecs viendront à Téhéran pour l'Aïd al-Adha et se produiront en compagnie d'artistes locaux.</t>
  </si>
  <si>
    <t>La plus vieille nominée aux Oscars | Une légende du cinéma français s'éteint.  Hamshahri Online : Agnès Varda, la cinéaste française d’origine belge et mère de la Nouvelle Vague française, après environ six décennies</t>
  </si>
  <si>
    <t>Le soulèvement des services de renseignement européens contre les États-Unis. Rubrique internationale : La chancelière allemande a proposé de mettre en place des réseaux de renseignement indépendants en Europe afin de ne pas</t>
  </si>
  <si>
    <t>devenir un instrument de la guerre froide culturelle.  Seyed Hossein Emami : Le projet « islamophobie » est un mouvement qui a été méticuleusement conçu par certaines institutions américaines et britanniques.</t>
  </si>
  <si>
    <t>Dernières statistiques officielles sur le coronavirus en Iran et dans le monde | La Turquie dépasse l’Iran ; l’Afghanistan établit un record | Augmentation des infections en Iran.  Le nombre de cas de COVID-19 dans le monde a dépassé les 6 520 000, et le nombre de décès</t>
  </si>
  <si>
    <t>La Russie aspire à une relation d'égalité avec les États-Unis.  Rubrique internationale - Abdullah Albughbish : Les relations entre la Russie et les États-Unis se sont quelque peu tendues ces dernières semaines pour plusieurs raisons.</t>
  </si>
  <si>
    <t>Possibilité du départ de Bashar Resan de Persépolis. Un site web irakien a prédit que, compte tenu des problèmes financiers de Persépolis, Bashar Resan quitterait l'équipe.</t>
  </si>
  <si>
    <t>Critique sans détour de Sardar Nakdî à l'égard du voyage de Rohani en France et en Italie : « Ce voyage a été un coup dur. »  Hamshahri Online : Le chef de l’Organisation Basij des pauvres a déclaré : « Le voyage du président à Rome et en France a été un coup de poignard porté à l’économie de la résistance. »</t>
  </si>
  <si>
    <t>Un reportage de Russia Today sur la libération de Kobani. Des sources d’information kurdes syriennes et des opposants en exil ont rapporté que la ville de Kobani a été libérée de l’occupation de l’EI et est désormais entièrement sous le contrôle des forces kurdes.</t>
  </si>
  <si>
    <t xml:space="preserve">Les jours autorisés pour l’activité commerciale à la frontière de Mehran seront déterminés. Le gouverneur d’Ilam a indiqué que les autorités irakiennes ont annoncé qu’elles autoriseraient deux jours de commerce par semaine à la frontière de Mehran.  </t>
  </si>
  <si>
    <t>Des e-mails de l’équipe de transition de Trump sont tombés entre les mains de Mueller.  Hamshahri Online : Robert Mueller, le procureur spécial chargé d’enquêter sur l’ingérence russe dans les élections américaines, a obtenu des dizaines de milliers d’e-mails d’</t>
  </si>
  <si>
    <t xml:space="preserve">Abdullah Saleh demandant l’autorisation du Conseil de sécurité pour se rendre à Cuba.  Hamshahri Online : Ali Abdullah Saleh, l'ancien président du Yémen, a demandé au Conseil de sécurité de l'autoriser à se rendre à Cuba.  </t>
  </si>
  <si>
    <t xml:space="preserve">Urgent / Images du crash du Boeing 777 à San Francisco.  Hamshahri Online : Un avion de ligne d'Asiana Airlines en provenance de Séoul, en Corée du Sud, et à destination des États-Unis, samedi </t>
  </si>
  <si>
    <t xml:space="preserve">De nouvelles révélations sur la mort suspecte du conseiller de Poutine aux États-Unis. Hamshahri Online : Les médias russes ont rapporté de nouveaux détails concernant la mort suspecte de Mikhaïl Lesin, conseiller de Poutine aux États-Unis. </t>
  </si>
  <si>
    <t>Le coronavirus a également atteint l'Allemagne.  Le premier cas du nouveau coronavirus chinois a été enregistré en Allemagne.</t>
  </si>
  <si>
    <t xml:space="preserve">Réaction du mollah Omar aux élections afghanes.  Hamshahri Online : Le chef des talibans pakistanais, dans un message à l'occasion de l'Aïd al-Fitr, a rejeté l'élection présidentielle afghane </t>
  </si>
  <si>
    <t xml:space="preserve"> Évolution des cours de l'or et des devises au cours des prochains jours   Hamshahri Online : Les facteurs politiques et l'apaisement des tensions en Irak et en Ukraine figuraient parmi les principales raisons de la baisse des cours de l'or la semaine dernière </t>
  </si>
  <si>
    <t xml:space="preserve"> Prison à perpétuité pour un Britannique aux Émirats arabes unis pour espionnage   Hamshahri Online : Un tribunal des Émirats arabes unis a condamné un ressortissant britannique à la prison à perpétuité pour espionnage.</t>
  </si>
  <si>
    <t xml:space="preserve">L'Iran a remporté le tournoi de taekwondo Fajr à Téhéran.  Hamshahri Online : À l'issue de la 27e édition de la Fajr Cup, les équipes d'Iran, d'Afghanistan et de Russie sont montées sur le podium </t>
  </si>
  <si>
    <t xml:space="preserve"> Ban Ki-moon : Les États-Unis devraient autoriser les inspecteurs à faire rapport   Hamshahri Online : Le secrétaire général de l'ONU a déclaré que les inspecteurs de l'organisation quitteraient Damas samedi (9 septembre) </t>
  </si>
  <si>
    <t xml:space="preserve"> Accord entre les États-Unis et la Russie pour préparer le terrain en vue de la conférence Genève II   Hamshahri Online : Sergueï Lavrov a annoncé que cet accord avait été conclu lors de la réunion des ministres russes et américains des Affaires étrangères et de la Défense.</t>
  </si>
  <si>
    <t>Guerre commerciale sur les tables des ménages | Les dépenses des Américains augmentent de mille dollars. Hamshahri Online : À partir de dimanche, le gouvernement américain imposera des droits de douane de 10 % sur 112 milliards de dollars d’importations chinoises.</t>
  </si>
  <si>
    <t>Russie : Le renversement de Bachar al-Assad n’est plus une condition préalable des États-Unis.  Hamshahri Online : Gennady Gatilov, vice-ministre russe des Affaires étrangères, a annoncé que les États-Unis, contrairement au passé, ne sont plus en faveur de</t>
  </si>
  <si>
    <t>Championnat du monde de patinage artistique | Italie ; deuxième victoire écrasante de l'Iran. Hamshahri Online : L'équipe nationale iranienne de patinage artistique a remporté sa deuxième victoire consécutive. L'Iran a battu Macao 8-0</t>
  </si>
  <si>
    <t>McCain a pris la défense des Égyptiens.  Hamshahri Online : Le conseiller médiatique du président égyptien a critiqué les propos d'un sénateur républicain américain au sujet de</t>
  </si>
  <si>
    <t>Facebook a supprimé des centaines de comptes anti-Qatar, anti-Iran et anti-Turquie | il s'agissait de comptes émiratis et saoudiens.  Hamshahri Online : Facebook a annoncé avoir supprimé des centaines de faux comptes de ses différentes plateformes. Ces comptes</t>
  </si>
  <si>
    <t>Les pourparlers directs entre les parties yéménites débutent au Koweït. Hamshahri Online : Le porte-parole de l'envoyé spécial de l'ONU au Yémen a déclaré samedi que des négociations directes avaient commencé entre les parties présentes au</t>
  </si>
  <si>
    <t>Trump et la menace chinoise dans les négociations commerciales.  Hamshahri Online : Trump a affirmé que tant que la Chine ne mettra pas fin aux actions que les États-Unis condamnent, un</t>
  </si>
  <si>
    <t>L'Iran est sûr pour les touristes étrangers. Le vice-ministre des Affaires consulaires et parlementaires a déclaré : « Ces dernières années, peut-être aux États-Unis, au Canada et en Europe pour les touristes</t>
  </si>
  <si>
    <t>Les bombardiers russes sont revenus de Syrie.  Hamshahri Online : La réduction de la présence militaire russe en Syrie a commencé à la suite du cessez-le-feu établi dans le pays, et plusieurs</t>
  </si>
  <si>
    <t xml:space="preserve">La Résistance islamique ébranle le cabinet du régime israélien.  Hamshahri Online : Rahim Safavi a déclaré : « Aujourd’hui, le Mouvement de résistance islamique en Cisjordanie et dans la bande de Gaza, calqué sur la Force Qods, ébranle progressivement le cabinet du régime sioniste. »  </t>
  </si>
  <si>
    <t>La Turquie a expulsé trois journalistes allemands. Hamshahri Online : Le gouvernement turc a expulsé trois reporters et journalistes allemands.</t>
  </si>
  <si>
    <t xml:space="preserve">Iraqchi a vivement critiqué l'action récente de trois pays européens.  Le vice-ministre des Affaires étrangères chargé des affaires politiques, lors d’une rencontre avec l’ambassadeur de Croatie à Téhéran, pays qui assure la présidence tournante de l’UE, a annoncé de </t>
  </si>
  <si>
    <t>nouvelles sanctions de l’Union européenne contre la Russie et les séparatistes en Ukraine. Hamshahri Online : L’Union européenne a imposé de nouvelles sanctions contre la Russie et les séparatistes en Ukraine. Représentants</t>
  </si>
  <si>
    <t xml:space="preserve">Davutoglu : Le corps du pilote russe est prêt à être remis à la Russie.  Hamshahri Online : Ahmet Davutoglu, Premier ministre de Turquie, a annoncé que le corps du pilote russe a été transporté en Turquie et est prêt à être remis.  </t>
  </si>
  <si>
    <t xml:space="preserve">Un quatrième migrant est également décédé dans des centres de détention à la frontière américaine.  Hamshahri Online : Un migrant mexicain de 40 ans a perdu la vie dans un centre frontalier américain, portant le nombre de migrants décédés à des millions. </t>
  </si>
  <si>
    <t xml:space="preserve">Des millions de personnes se trouvent sur la trajectoire d'une violente tempête en Inde et au Bangladesh. À l'approche du cyclone Amphan, de fortes pluies et des vents violents ont été signalés dans l'est de l'Inde et au Bangladesh.La rencontre entre des représentants de l'Iran et du régime sioniste est une rumeur sans fondement.  </t>
  </si>
  <si>
    <t xml:space="preserve"> Le régime sioniste est assiégé par Al-Qaïda.   Rubrique internationale : Alors que les pourparlers de Genève II, avec toutes leurs opérations de relations publiques, sont en cours pour résoudre la crise syrienne, </t>
  </si>
  <si>
    <t xml:space="preserve">l'utilisation des sacs en plastique et des pailles a été interdite en Chine. L'utilisation des sacs en plastique et d'autres produits en plastique à usage unique est interdite en Chine, l'un des plus grands consommateurs de plastique au monde.  </t>
  </si>
  <si>
    <t xml:space="preserve">Soutien de la Confédération asiatique de football au projet controversé des Saoudiens.  Hamshahri Online : Le président bahreïni de la Confédération asiatique de football (AFC) a apporté son soutien au projet controversé de l'Arabie saoudite visant à former une fédération. </t>
  </si>
  <si>
    <t xml:space="preserve"> La visite du pape en Arménie va provoquer la colère de la Turquie.  Hamshahri Online : Le pape François, chef de l'Église catholique mondiale, se rendra demain, vendredi 4 Tir, dans le cadre d'un voyage de trois jours</t>
  </si>
  <si>
    <t>; rassemblement de la communauté coranique en soutien au peuple opprimé de Gaza.  Hamshahri Online : La communauté coranique nationale a annoncé sa condamnation des crimes du régime sioniste usurpateur et son soutien au peuple opprimé de Gaza.</t>
  </si>
  <si>
    <t>Le roi d'Arabie saoudite a été invité au Tadjikistan.  Hamshahri Online : Lors d’une réunion à Riyad entre le ministre des Affaires étrangères du Tadjikistan et le premier vice-Premier ministre et ministre de la Défense de l’Arabie saoudite, il a été question du plus long pont maritime du monde – s’étendant sur 55 kilomètres, coûtant 20 milliards de dollars et équipé d’une caméra qui détecte les bâillements – ainsi que de six points clés concernant ce pont.</t>
  </si>
  <si>
    <t xml:space="preserve">  Hamshahri Online : Le plus long pont maritime du monde relie les ports de Hong Kong et de Macao à 11 villes de Chine continentale et l'alternative européenne à SWIFT.  </t>
  </si>
  <si>
    <t xml:space="preserve"> Poutine a qualifié la politique de sanctions américaine d'audace sans limites et sans fin   Hamshahri Online : </t>
  </si>
  <si>
    <t>Vladimir Poutine, président de la Russie, a critiqué l'adoption du nouveau train de sanctions contre son pays au Majlis. Alors que les États-Unis intensifient leurs efforts pour bloquer l'accès de l'Iran au réseau de messagerie financière SWIFT, cet événement</t>
  </si>
  <si>
    <t xml:space="preserve">Le gouvernement japonais interdit l'achat d'équipements Huawei et ZTE.  Hamshahri Online : Le Japon prévoit d'interdire l'achat d'équipements des deux entreprises chinoises Huawei et ZTE pour les institutions gouvernementales.  </t>
  </si>
  <si>
    <t xml:space="preserve">La Russie est une menace aux yeux de l’OTAN.  Hamshahri Online : Le secrétaire général de l’OTAN, Jens Stoltenberg, a déclaré que, du point de vue de l’OTAN, la Russie, en raison de ses actions dans l’est de l’Ukraine, est un partenaire peu fiable et indigne de confiance qui ne respecte aucun de ses engagements.  </t>
  </si>
  <si>
    <t xml:space="preserve">Hamshahri Online : Lors d’une rencontre avec le ministre nord-coréen des Affaires étrangères, le président a déclaré que le comportement des États-Unis ces dernières années et leur incapacité à honorer leurs engagements sont évidents.  </t>
  </si>
  <si>
    <t>Victoire 8-0 de Persépolis au Qatar | But d'Osaguna et doublé de Stokes  .  Le moment clé de ce match a été le but d'Osaguna et le doublé de Stokes. Il semble que l'attaquant irlandais retrouve peu à peu sa forme.</t>
  </si>
  <si>
    <t xml:space="preserve"> L'ambassade de Russie à Londres a qualifié l'action de la Grande-Bretagne d'hostile.  Hamshahri Online : L'Agence France-Presse a rapporté depuis Londres : L'ambassade de Russie à Londres a qualifié mercredi la décision du Royaume-Uni de</t>
  </si>
  <si>
    <t xml:space="preserve">L'agression du régime israélien contre la bande de Gaza se poursuit. Le régime israélien a pris pour cible la bande de Gaza avec ses frappes aériennes plus de 20 fois depuis vendredi minuit. </t>
  </si>
  <si>
    <t>La première de « Mrs Minister », réalisée par Morgan Freeman.  Hamshahri Online : Morgan Freeman, réalisateur de la série « Mrs Minister », sera à l'affiche ce soir sur CBS aux États-Unis.</t>
  </si>
  <si>
    <t xml:space="preserve">Explosion d'une bombe dans un bus transportant des pèlerins chiites en provenance du Pakistan. Hamshahri Online : Une bombe a explosé sur le trajet du bus transportant des pèlerins chiites en provenance du Pakistan, qui avait franchi la frontière iranienne en route vers Quetta, la capitale. </t>
  </si>
  <si>
    <t>Le Prix franco-allemand des médias a été décerné au célèbre philosophe allemand Jürgen Habermas.  Hamshahri Online : Le Prix des médias allemands et français 2018 a été décerné au célèbre philosophe allemand Jürgen Habermas.</t>
  </si>
  <si>
    <t xml:space="preserve">Rouhani : La résistance des peuples iranien et vénézuélien et le déjouement des complots américains sont louables.  Hamshahri Online : Le président salue la résistance des nations iranienne et vénézuélienne et la défaite des complots américains. </t>
  </si>
  <si>
    <t>Lâcher de 155 grandes tortues dans les îles Galápagos.  Hamshahri Online : Le ministère de l'Environnement de l'Équateur a annoncé : 155 tortues adultes et juvéniles originaires de l'archipel des Galápagos</t>
  </si>
  <si>
    <t>.Le pêcheur devenu une bouée de sauvetage. Bangkok : Un couple de Norvégiens âgés, alors qu'ils observaient les oiseaux sur les rives de la rivière Krabi (à 814 kilomètres au sud de Bangkok), s'est progressivement retrouvé</t>
  </si>
  <si>
    <t>Erdogan : La Turquie se retirera après le départ des autres pays de Syrie. Le président turc a déclaré que son pays ne quitterait jamais la Syrie avant les autres nations</t>
  </si>
  <si>
    <t xml:space="preserve">Le ministère des Affaires étrangères condamne l'attaque contre le défilé de la Journée de Quds au Nigeria.  Hamshahri Online : Un porte-parole du ministère des Affaires étrangères a condamné l'attaque armée contre des manifestants défilant lors de la Journée de Quds dans la ville de Zaria. </t>
  </si>
  <si>
    <t xml:space="preserve">Deux tableaux récemment découverts de Francis Bacon, le peintre irlando-britannique aujourd'hui décédé, vont être mis aux enchères.  Hamshahri Online : Deux tableaux du peintre irlando-britannique Francis Bacon, redécouverts dans un </t>
  </si>
  <si>
    <t>En attente d’une sanction américaine | Le tribunal annoncera bientôt le montant de l’amende.  Hamshahri Online : L’entreprise chinoise d’équipements de télécommunications ZTE a mis en garde contre l’impact d’éventuelles sanctions américaines à son encontre.</t>
  </si>
  <si>
    <t>COD</t>
  </si>
  <si>
    <t>ISR GBR</t>
  </si>
  <si>
    <t>IRQ</t>
  </si>
  <si>
    <t xml:space="preserve">Zarif : Notre présence en Syrie est à la fois légale et légitime.  Hamshahri Online : Le ministre des Affaires étrangères a déclaré : « Nous apportons notre aide à la demande du gouvernement irakien par l’intermédiaire de nos conseillers. </t>
  </si>
  <si>
    <t xml:space="preserve">Le Japon, malgré les sanctions américaines et occidentales contre l’Iran, a augmenté ses importations de pétrole en provenance d’Iran de 35 %. Nous sommes au Japon, où les importations de pétrole en provenance d’Iran ont augmenté de 35 %. Hamshahri Online : </t>
  </si>
  <si>
    <t xml:space="preserve">Identification des 166 victimes de l'accident d'avion | Tous les ressortissants ukrainiens et afghans ont été identifiés.  Le directeur général du Bureau de médecine légale de Téhéran a annoncé l’identification des 166 victimes de l’accident d’avion ukrainien, et </t>
  </si>
  <si>
    <t xml:space="preserve">Dempsey a déclaré que la coopération entre l’Iran et les États-Unis en Irak n’était pas impossible. Hamshahri Online : Le chef d’état-major de l’armée américaine a déclaré que, bien que les objectifs de l’Iran et des États-Unis en Irak ne soient pas les mêmes, le respect s’impose. 18 juillet </t>
  </si>
  <si>
    <t>KWT</t>
  </si>
  <si>
    <t>ABD’den Yemen’de hava saldırısı!  .  ABD Savunma Bakanlığınca (Pentagon), Yemen’de son iki günde Şabva, Beyda ve Abyan illerinde El Kaide</t>
  </si>
  <si>
    <t xml:space="preserve">Son dakika: ABD'li aileye Gürcistan'da şelalede vahşet ve tecavüz!  .  Dünya bu vahşeti konuşuyor! ABD'li ailenin Gürcistan'da yaşadığı tecavüz ve dehşetin yankıları uzun </t>
  </si>
  <si>
    <t>Türkiye'den ABD'ye kritik Suriye telefonu!  .  Dışişleri Bakanı Mevlüt Çavuşoğlu, ABD Dışişleri Bakanı John Kerry ile telefonda görüştü.Devamı için</t>
  </si>
  <si>
    <t>İran'dan ABD'ye sert uyarı: Burası New York değil  .  İran Cumhurbaşkanı Hasan Ruhani: Fars Körfezi, İran milletine aittir ve adı her zaman Fars Körfezi o</t>
  </si>
  <si>
    <t>ABD'den Kuzey Kore'ye Sony yanıtı  .  ABD yönetimi, Sony firmasına siber saldırısı nedeniyle Kuzey Kore'ye ek yaptırımlar getirme kararı a</t>
  </si>
  <si>
    <t>Yunanistan tazminat konusunda kararlı  .  Yunanistan Hükümet Sözcüsü Sakellaridis, Yunanistan ile Almanya arasında İkinci Dünya Savaşı ile ilg</t>
  </si>
  <si>
    <t>18:38 - Başbakan Erdoğan David Cameron ile görüştü  .  Başbakan Erdoğan 20 dakika süren görüşmede Suriye ve Irak'taki gelişmeler de ele alındı</t>
  </si>
  <si>
    <t xml:space="preserve">ABD’den Suriye’de Kürt devletine kırmızı ışık  .  ABD Dışişleri Bakan Yardımcısı Antony Blinken, Suriye'yi bir arada tutacak birleşik Suriye'den yana </t>
  </si>
  <si>
    <t>ABD, Çin'in nükleer bomba test ettiği iddia etti! Çin'den o iddialara yalanlama...  .  Çin Dışişleri Bakanlığı, ABD'nin, "Pekin yönetiminin nükleer bomba test ettiği" yönündeki iddiaların</t>
  </si>
  <si>
    <t>Çin'den ABD'ye 60 milyar dolarlık misilleme  .  Çin, 60 milyar dolar tutarındaki ABD menşeili ürünlere yüzde 5 ila yüzde 10 oranında ek vergi getird</t>
  </si>
  <si>
    <t>12:19 - Biden’dan Yanukoviç’e diyalog çağrısı  .  ABD Başkan Yardımcısı Joe Biden, Ukrayna Cumhurbaşkanı Viktor Yanukoviç ile telefon görüşmesi yaptı.</t>
  </si>
  <si>
    <t>Yunanistan Makedonya'nın NATO üyeliğini onayladı  .  Yunanistan'da meclis, isim konusunda varılan anlaşmanın ardından komşusu Makedonya'nın NATO'ya katıl</t>
  </si>
  <si>
    <t>"Petrol fiyatlarındaki yükselişin sebebi ABD"  .  Rusya Devlet Başkanı Vladimir Putin, petrol fiyatlarının yükselmesine ABD'nin sebep olduğunu söyledi</t>
  </si>
  <si>
    <t>Suriye nasıl bölünecek?  .  Medyada atıp tutmalar ayyuka çıkıca, "Suriye aynı zamanda Rusya'dır" başlıklı bir yazı kaleme almışt</t>
  </si>
  <si>
    <t>09:40 - İsrail: Gazze'den havan topu atıldı  .  İsrail ordusu, Gazze tarafından hava topu atıldığını iddia etti.</t>
  </si>
  <si>
    <t xml:space="preserve">Arakanlılardan zulmü protesto yürüyüşü  .  Myanmar'daki zulümden kaçarak Bangladeş'e sığınan binlerce Arakanlı Müslüman (Rohingya), iki yıldır </t>
  </si>
  <si>
    <t>12:25 - Hong Kong'daki endişeli bekleyiş sürüyor  .  Hong Kong'da demokrasi yanlısı gösteriler 5. gününe girerken, Çin yönetimine karşı düzenlenen en büy</t>
  </si>
  <si>
    <t>Voleybol maçı için 1 yıl hapis yatacak  .  İran'da yaşayan 25 yaşındaki Ghoncheh Ghavami, İran-İtalya voleybol maçını izlemek için evinden çıkt</t>
  </si>
  <si>
    <t>Sahada üniformalı saygı duruşu  .  Azerbaycan Premier Ligi'nde dün oynanan futbol maçlarında, Ermenistan sınırında yaşanan çatışmalarda</t>
  </si>
  <si>
    <t>Yemen’deki hapishaneye hava saldırısında ölü sayısı 100 oldu  .  Suudi Arabistan liderliğindeki Arap Koalisyon savaş uçaklarının, Yemen’in Damar kentinde düzenlediği</t>
  </si>
  <si>
    <t>İsrail helikopter ve uçaklarla saldırdı  .  İsrail ordusuna ait savaş uçakları ve helikopterler abluka altındaki Gazze Şeridi'nin çeşitli yerler</t>
  </si>
  <si>
    <t>ABD yine rahat kazandı  .  Basketbolda, 2014 FIBA Dünya Kupası C Grubu'nda Amerika, Yeni Zelanda'yı 98-71 yendi. Devamı için tı</t>
  </si>
  <si>
    <t>Kuzey ve Güney Kore, sınırdaki kara mayınlarını temizlemeye başladı  .  Güney Kore Savunma Bakanlığı, Kuzey Kore ve Güney arasındaki sınır bölgesinde yer alan bazı kara may</t>
  </si>
  <si>
    <t>22:55 - Karzai'den ABD'ye kınama  .  Afganistan Cumhurbaşkanı Hamid Karzai, ABD güçlerinin Helmand'da bir eve insansız hava araçlarıyla d</t>
  </si>
  <si>
    <t>12:00 - Papua Yeni Gine'de 7,3'lük deprem  .  Avustralya kıtasının kuzeyindeki Papua Yeni Gine'de 7.3 büyüklüğünde deprem meydana geldi.</t>
  </si>
  <si>
    <t>Küba'ya 40 yıl sonra ABD yolcu gemisi geldi  .  ABD bandıralı bir yolcu gemisi, yaklaşık 40 yıl sonra Küba'nın başkenti Havana'daki limana yanaştı.D</t>
  </si>
  <si>
    <t>Parti erken başladı  .  Avustralya'dan ABD'ye dünya yeni yıla havai fişeklerle girdi. Ancak kutlamalar çoğu ülkede bir gün ö</t>
  </si>
  <si>
    <t>Dünya Şampiyonu Sırbistan  .  2018 Voleybol Kadınlar Dünya Şampiyonası'nda finalde İtalya'yı 3-2 yenen Sırbistan dünya şampiyonu o</t>
  </si>
  <si>
    <t>Pentagon: "Libya'da DEAŞ'ın kontrol ettiği bölge kalmadı"  .  ABD Savunma Bakanlığı (Pentagon) Sözcüsü Yüzbaşı Jeff Davis, Sirte kentinin DEAŞ militanlarından tem</t>
  </si>
  <si>
    <t>Dünya Kupası'nda Belhanda fiyaskosu!  .  FIFA Dünya Kupası’nda Fas ile mücadele eden Galatasaray’ın 10 numarası Younes Belhanda, İspanya, Por</t>
  </si>
  <si>
    <t>Rus tankları Ukrayna'da  .  Ukrayna'nın doğusunda birkaç aydır devam eden gerginlik tırmanıyor. Rusya'ya ait tank ve zırhlı araç</t>
  </si>
  <si>
    <t>Bu iddia ABD'yi harekete geçirdi  .  ABD Dışişleri Bakanı John Kerry, IŞİD terör örgütü militanlarının Irak güvenlik güçlerine karşı klor</t>
  </si>
  <si>
    <t>Akdeniz 7 ayda, 2 bin göçmene mezar oldu  .  Afrika üzerinden Akdeniz'e ulaştıktan sonra başta İngiltere, Fransa ve Almanya olmak üzere Avrupa'ya</t>
  </si>
  <si>
    <t>DAEŞ ve Taliban ABD’ye karşı ateşkes yapıyor  .  ABD'li güvenlik uzmanları, terör örgütü DAEŞ'in Afganistan'da faaliyet gösteren koluyla Taliban'ın i</t>
  </si>
  <si>
    <t xml:space="preserve">Sosyal medya Federer-Nadal finalini konuştu  .  Avustralya Açık Tenis Turnuvası tek erkekler finalinde, İsviçreli Roger Federer ile İspanyol Rafael </t>
  </si>
  <si>
    <t>Mina Başaran ile beraber hayatını kaybeden Zeynep Coşkun da son yolculuğuna uğurlandı  .  Birleşik Arap Emirlikleri'nden İstanbul'a gelmek üzere havalanan ve İran'da düşerek 11 kişinin hayat</t>
  </si>
  <si>
    <t>AB ve Rusya'dan Barzani'ye net mesaj!  .  Kuzey Irak’ta 25 Eylül’de yapılacağı ilan edilen bağımsızlık referandumu Avrupa Birliği’ni de rahats</t>
  </si>
  <si>
    <t>Poroşenko Merkel ile görüştü  .  Ukrayna Devlet Başkanı Petro Poroşenko, Almanya Başbakanı Angela Merkel ile telefonda görüştü. Devam</t>
  </si>
  <si>
    <t>00:55 - İngiliz Parlamentosu'nda Filistin oylaması  .  İngiliz Parlamentosu bu ay, Filistin’in tanınmasına ilişkin önergeyi oylayacak.</t>
  </si>
  <si>
    <t xml:space="preserve">Muhalif Kürtler ABD’nin kirli planına karşı  .  Suriye'deki rejim karşıtı Kürt grupların birleşimiyle kurulan Suriye Kürt Ulusal Konseyi de ABD'nin </t>
  </si>
  <si>
    <t>Romantik tatil  .  Ünlü İspanyol oyuncu Paz Vega, eşi Orson Salazar ile İtalya tatiline devam ediyor. Önceki gün Taormi</t>
  </si>
  <si>
    <t>Terörü protesto etmek için gol sonrası secdeye yattı  .  Avustralya'nın Melbourne Victory takımında forma giyen Rum asıllı Yeni Zelanda doğumlu Kostas Barbar</t>
  </si>
  <si>
    <t xml:space="preserve">Milli Savunma Bakanlığından bir heyetin, Rusya Federasyonuna gideceği öğrenildi  .  Güvenlik kaynaklarından edinilen bilgilere göre, Milli Savunma Bakanlığından bir heyetin, Suriye’de </t>
  </si>
  <si>
    <t xml:space="preserve">Mısır Acil İşler Mahkemesi "İsrail" kararını verdi  .  Mısır'da İsrail'in "terör devleti" olarak kabul edilmesi talebiyle açılan davada takipsizlik kararı </t>
  </si>
  <si>
    <t>Son dakika: Afganistan’da iki ABD askeri öldürüldü  .  Son dakika gelişmesi: NATO bünyesinde Afganistan’da görev yapan 2 ABD askeri çıkan çalışmada öldürül</t>
  </si>
  <si>
    <t>Obama, Esad düşmesin diye Rusya ile görüşmüş  .  Eski ABD Başkanı Barack Obama döneminde Savunma Bakanlığı (Pentagon) Müsteşar Yardımcısı olan Andrew</t>
  </si>
  <si>
    <t>Suudi Arabistan, Bein Sports'u yasakladı  .  Son günlerde Katar'a uygulanan ablukadan nasibi alan son kurum Bein Sports oldu. Suudi Arabistan, Be</t>
  </si>
  <si>
    <t>Kuzey Kore, Rusya ile yakınlaşıyor  .  Kuzey Kore'nin Rusya ile ilişkileri güçlendirmek amacıyla yakında üst düzey bir temsilcisini bu ülke</t>
  </si>
  <si>
    <t>Moritanya ve Gürcistan'ın balıkçı gemileri Ordu'dan  .  Ordu'da yaklaşık 80 kişinin istihdam edildiği tersanede üretilen balıkçı tekneleri, yurt içinin yanı</t>
  </si>
  <si>
    <t>23:19 - ABD'de Türk öğrenci öldürüldü  .  Türk asıllı 17 yaşındaki Diren Dede, Almanya'dan "öğrenci değişimi" kapsamında gittiği ABD'de tüfekl</t>
  </si>
  <si>
    <t>19:03 - Uçaktan yolcu mu attılar?  .  Nijer'de Fransa'nın ulusal havayolu şirketi Air France'a ait uçaktan bir kişinin atıldığı ya da atla</t>
  </si>
  <si>
    <t>Libya Ordusu Sirte'de BAE'ye ait SİHA düşürdü  .  Libya Ordusu, Sirte'de, ülkenin doğusundaki gayrimeşru silahlı güçlerin lideri Halife Hafter milisle</t>
  </si>
  <si>
    <t>Esad’la ilgili şok iddia  .  ABD ve müttefiklerinin askeri operasyon düzenlemeye hazırlandığı Suriye'nin Devlet Başkanı Beşar Esa</t>
  </si>
  <si>
    <t>Fransa son nefeste güldü  .  UEFA 2016 A Grubu maçında ev sahibi Fransa, Arnavutluk ile karşı karşıya geldi. Kıran kırana geçen m</t>
  </si>
  <si>
    <t>İsveç'te Filistin bayrağı krizi  .  Filistin devletini ilk tanıyan Avrupa Birliği ülkesi İsveç'teki bir seminerde, Filistin bayrağı terö</t>
  </si>
  <si>
    <t>Starbucks'a Hollanda'dan 30 milyon Euro ceza  .  AB Komisyonu Starbucks'a Hollanda, Chrysler'a Lüksemburg tarafından sağlanan vergi kolaylıklarının y</t>
  </si>
  <si>
    <t>Gabon’daki askeri darbe bastırıldı, bildirgeyi okuyanlar yakalandı  .  Özge Düzgün, (DHA)- Güney Afrika ülkesi Gabon'da sabah erken saatlerde yaşanan darbe girişimi bast</t>
  </si>
  <si>
    <t>ABD- Kuzey Kore zirvesi iptal edildi!  .  ABD Başkanı Donald Trump ile Kuzey Kore Lideri Kim Jong Un arasında yapılması planlanan tarihi zirve</t>
  </si>
  <si>
    <t>Çağla’nın rakibi ABD’li Rogers  .  Fransa Açık birinci turunda Hırvat rakibi Lucic-Baroni'yi 6-3'lük iki sette 2-0'la geçen milli tenis</t>
  </si>
  <si>
    <t>İsrail'le işbirliği yok  .  Rus televizyonu İsrail'in 5 Temmuz'da Suriye'ye karşı düzenlediği öne sürülen saldırıyla ilgili "İsr</t>
  </si>
  <si>
    <t>Bursa'da içine eroin yerleştirilen kartpostallar ele geçirildi  .  Bursa'da, kargoyla Almanya ve Avusturya'ya gönderilmek istenen ve içine eroin yerleştirilen 4 kartpo</t>
  </si>
  <si>
    <t>Pentagon Suriye’de eğittiği teröristlere yeni isim buldu  .  ABD Savunma Bakanlığı (Pentagon) Sözcüsü Eric Pahon Suriye’de “sınır güvenliği gücünün” kurulması üz</t>
  </si>
  <si>
    <t>Mısır Refah Sınır Kapısı'nı kapattı  .  Mısır, Kuzey Sina ilinde 26 askerin ölümü ile sonuçlanan bombalı saldırının ardından Gazze'nin dünya</t>
  </si>
  <si>
    <t>3 günde 20 bin Kürt, Irak'a kaçtı  .  Suriye'de Esad güçlerinin bombardımanına maruz kalan Kürtler, yürüyerek bile olsa, evlerini ve eşyal</t>
  </si>
  <si>
    <t xml:space="preserve">"İran ABD ile 2 yıl gizli görüştü"  .  İran Cumhurbaşkanı Siyasi Danışmanı Ebutalibi, Ahmedinejad döneminde 2 yıl ABD ile gizli görüşmeler </t>
  </si>
  <si>
    <t>Yunanistan Savunma Bakanı Apostolakis'ten S-400 yorumu  .  Yunanistan Savunma Bakanı Evangelos Apostolakis, Türkiye'nin Rusya'dan S-400 hava savunma sistemi al</t>
  </si>
  <si>
    <t>Pakistan ve Rusya'dan ilk ortak askeri tatbikat!  .  Pakistan ve Rusya'nın ilk kez ortak askeri tatbikat gerçekleştireceği bildirildi.Devamı için tıklayı</t>
  </si>
  <si>
    <t>Türkmenistan'ta Çalık-Japon güç birliği  .  Dünyanın doğalgaz zengini ülkesi Türkmenistan ile teknoloji ülkesi Japonya'ya güçlerini birleştiriyo</t>
  </si>
  <si>
    <t>İstanbul'da 54 kilo kokain ele geçirildi  .  İstanbul Narkotik polisi İran, Gürcistan ve Türkiye üzerinden Avrupa'ya uyuşturucu sevkıyatı yapan u</t>
  </si>
  <si>
    <t>Çin'de ortaya çıkan corona virüs, ABD'ye de sıçradı  .  Dünyayı sarsan virüs ile ilgili haber bu kez Amerika'dan geldi. ABD'de ilk corona virüs vakasının ka</t>
  </si>
  <si>
    <t xml:space="preserve">Ukrayna-Kosova maçı Krakow'da  .  2018 Dünya Kupası Elemeleri'ndeki rakiplerimizden olan Ukrayna ile Kosova arasında oynanılacak olan </t>
  </si>
  <si>
    <t>Almanya Avusturya sınırında 24 saat kontrol yapılacak!  .  Almanya'nın Bavyera eyaleti ile Avusturya sınırında 15 Aralık 2016 tarihinden itibaren 24 saat aralı</t>
  </si>
  <si>
    <t>Cebelitarık'ta bayrak krizi  .  İngiltere ile İspanya arasındaki Cebelitarık krizi yeni bir boyut kazandı. İspanyol polisi denizde b</t>
  </si>
  <si>
    <t>Son Dakika Haberi: İsrail’de koronavirüs vakası 10’a yükseldi! Koronavirüs korku saçmaya devam ediyor  .  Çin’in Vuhan kentinde ortaya çıkan ve kısa süre içerisinde tüm dünya üzerinde etkili olan koronavirü</t>
  </si>
  <si>
    <t>Kırgızistan Cumhurbaşkanı Türkiye'de rahatsızlandı  .  New York'taki BM Genel Kurul Toplantısı'na gitmek üzere İstanbul'da uçağa bineceği sırada rahatsızla</t>
  </si>
  <si>
    <t>Trump-Erdoğan görüşmesine Esper ve Milley de katılmış  .  ABD Savunma Bakanı Mark Esper ile Genelkurmay Başkanı Orgeneral Mark Milley'in, Türkiye'nin Suriye'n</t>
  </si>
  <si>
    <t xml:space="preserve">ABD'li komutan: Kuzey Kore bizi nükleer füzeyle vurabilir  .  PENTAGON'DA KUZEY KORE ALARMIKuzey Kore'nin nükleer başlık taşıma yeteneğine sahip KN-08 balistik </t>
  </si>
  <si>
    <t>Bursaspor'un hazırlık maçında gol sesi çıkmadı  .  Bursaspor, Avusturya kampının üçüncü hazırlık maçında Suudi Arabistan ekiplerinden Al Fayha FC ile y</t>
  </si>
  <si>
    <t>Gazze'nin kilidini iş dünyası açıyor  .  İsrail'le yürütülen sivil diplomasi trafiği hız kazandı. TOBB başkanlığında Gazze'yi ziyaret eden ka</t>
  </si>
  <si>
    <t>Ruslar amerikan iha'sını ele geçirdi  .  Rusya, Kırım üzerinde tespit ettiği ABD İnsansız Hava Aracı'nı (İHA) indirdiğini açıkladı. Rus silah</t>
  </si>
  <si>
    <t>Avrupa’nın göbeğinde polis şiddeti yayılıyor  .  Fransa'da akaryakıt zamlarını protesto eden Sarı Yelekliler dün Belçika'da da sokaklara çıktı. Başke</t>
  </si>
  <si>
    <t>İspanya'da korona vakası görülmeyen tek yer: Zahara de la Sierra  .  Avrupa'daki en fazla korona virüs vakasının bulunduğu İspanya'da, Sevilla ile Cebelitarık arasında k</t>
  </si>
  <si>
    <t>Trump'tan flaş Cammu Keşmir çağrısı  .  ABD Başkanı Donald Trump, Hindistan'ın Cammu Keşmir'in ayrıcalıklı statüsüne son vermesinin ardından</t>
  </si>
  <si>
    <t>4 bin liralık hamburger  .  İngiliz şef Chris Large, dünyanın en pahalı hamburgerini yaptı. İçinde Kanada ıstakozu, geyik eti, İ</t>
  </si>
  <si>
    <t>Başakşehir-Alkmaar maçına İspanyol hakem  .  Lacivert-turunculuların, UEFA Avrupa Ligi 3. ön eleme turunda Hollanda temsilcisini ağırlayacağı röv</t>
  </si>
  <si>
    <t>Filistin'den Pompeo'nun açıklamalarına tepki  .  ABD Dışişleri Bakanı Mike Pompeo'nun, işgal altındaki Batı Şeria'daki toprakların ilhak edilmesi mes</t>
  </si>
  <si>
    <t>Putin hakkında şok suçlama!  .  Araştırma platformu Bellingcat, Ukrayna'da Rus yapımı füzeyle vurulan Malezya Havayolları'na ait MH1</t>
  </si>
  <si>
    <t>Özcan Deniz İsrail'de konser vermesiyle ilgili konuşacak mı?  .  Filistin işgali ve Filistinlilere zulme tepki olarak birçok dünya yıldızının konserlerini iptal etti</t>
  </si>
  <si>
    <t>Rusya, Sovyetler Birliği borçlarını kapattı!  .  Rusya'nın, Bosna-Hersek'e 125 milyon dolar ödeyerek Sovyetler Birliği'nden kalan tüm borçlarını kapa</t>
  </si>
  <si>
    <t xml:space="preserve">“Liberalizm artık hükümsüz”  .  Japonya'nın Osaka kentinde başlayan G20 Zirvesi öncesi Financial Times gazetesine demeç veren Rusya </t>
  </si>
  <si>
    <t>Merkel Kral Selman ile görüştü  .  Suudi Arabistan Kralı Selman ile Almanya Başbakanı Merkel telefonda görüştüDevamı için tıklayınız</t>
  </si>
  <si>
    <t>Financial Times‘tan flaş iddia!  .  Kuzey Irak Kürt Bölgesi’nden çıkan petrolün en büyük müşterisinin İsrail olduğu ortaya çıktı. İngili</t>
  </si>
  <si>
    <t>ABD Suriye'deki petrol yataklarını tahkim ediyor  .  ABD Savunma Bakanlığı (Pentagon), Suriye'nin doğusundaki petrol yataklarını korumak üzere bölgeye as</t>
  </si>
  <si>
    <t>Rusya'dan tehdit gibi 'kara harekatı' açıklaması  .  Rusya, Koalisyon üyelerinin BMGK'nin izni olmadan Suriye topraklarına asker göndermesini doğrudan mü</t>
  </si>
  <si>
    <t>Suudi Arabistan'dan Yemen operasyonu  .  Suudi Arabistan, Yemen'de ilerleyişini sürdüren Husi militanlarına karşı hava operasyonuna başladığı</t>
  </si>
  <si>
    <t>Erdoğan ve Merkel’den Suriye’nin toprak bütünlüğü vurgusu  .  Cumhurbaşkanı Recep Tayyip Erdoğan ve Almanya Federal Cumhuriyeti Şansölyesi Angela Merkel, dün tele</t>
  </si>
  <si>
    <t>Cumhurbaşkanlığı Sözcüsü İbrahim Kalın'dan çarpıcı açıklamalar:  Hafter'i destekleyenler yanlış tarafta...  .  Cumhurbaşkanlığı Sözcüsü İbrahim Kalın, Libya'daki son gelişmeler ve Suriye meselesine ilişkin Franc</t>
  </si>
  <si>
    <t>Şimdi de kırmızı yelekliler sahnede  .  Hollanda'da sarı yeleklilerden sonra kırmızı yelekliler sokağa çıkmaya hazırlanıyor. Fransa'da başla</t>
  </si>
  <si>
    <t>Her şey 'çocuklar mutlu olsun' diye...  .  Gazze'de, İsrail ablukası altında yaşayan 20 yaşındaki Muhammed Baraka, sıradışı yeteneğiyle dikkatl</t>
  </si>
  <si>
    <t>14:11 - Ukrayna’da siviller havadan vuruldu: 4 ölü  .  Ukrayna'nın doğusundaki Lugansk kentinde ordu birlikleriyle Rusya yanlısı ayrılıkçılar arasında çıka</t>
  </si>
  <si>
    <t>USA GEO</t>
  </si>
  <si>
    <t>GRC MKD</t>
  </si>
  <si>
    <t>MMR BGD</t>
  </si>
  <si>
    <t>AZE ARM</t>
  </si>
  <si>
    <t>USA NZL</t>
  </si>
  <si>
    <t>PNG AUS</t>
  </si>
  <si>
    <t>AUS USA</t>
  </si>
  <si>
    <t>SRB ITA</t>
  </si>
  <si>
    <t>MAR ESP</t>
  </si>
  <si>
    <t>AUS ESP</t>
  </si>
  <si>
    <t>ARE IRN</t>
  </si>
  <si>
    <t>RUS IRQ</t>
  </si>
  <si>
    <t>EGY ISR</t>
  </si>
  <si>
    <t>SAU QAT</t>
  </si>
  <si>
    <t>MRT GEO</t>
  </si>
  <si>
    <t>NER FRA</t>
  </si>
  <si>
    <t>LBY ARE</t>
  </si>
  <si>
    <t>FRA ALB</t>
  </si>
  <si>
    <t>SWE PSE</t>
  </si>
  <si>
    <t>NLD LUX</t>
  </si>
  <si>
    <t>GAB ZAF</t>
  </si>
  <si>
    <t>DEU AUT</t>
  </si>
  <si>
    <t>EGY PSE</t>
  </si>
  <si>
    <t>GRC RUS</t>
  </si>
  <si>
    <t>PAK RUS</t>
  </si>
  <si>
    <t>TKM JPN</t>
  </si>
  <si>
    <t>IRN GEO</t>
  </si>
  <si>
    <t>UKR KOS</t>
  </si>
  <si>
    <t>ISR CHN</t>
  </si>
  <si>
    <t>KGZ TGO</t>
  </si>
  <si>
    <t>AUT SAU</t>
  </si>
  <si>
    <t>ESP GIB</t>
  </si>
  <si>
    <t>RUS BIH</t>
  </si>
  <si>
    <t>JPN RUS</t>
  </si>
  <si>
    <t>SAU DEU</t>
  </si>
  <si>
    <t>SYR DEU</t>
  </si>
  <si>
    <t>LBY SYR</t>
  </si>
  <si>
    <t>NLD FRA</t>
  </si>
  <si>
    <t>Une frappe aérienne américaine au Yémen !  .  Selon le ministère américain de la Défense (Pentagone), Al-Qaïda a été visé ces deux derniers jours dans les provinces de Shabwa, Bayda et Abyan au Yémen</t>
  </si>
  <si>
    <t xml:space="preserve">Dernières nouvelles : une famille américaine victime d’un crime barbare et d’un viol près d’une cascade en Géorgie !  .  Le monde entier parle de cette atrocité ! Les répercussions du viol et de l’horreur subis par une famille américaine en Géorgie sont loin d’être terminées </t>
  </si>
  <si>
    <t xml:space="preserve">Appel téléphonique crucial de la Turquie aux États-Unis sur la Syrie !  .  Le ministre des Affaires étrangères Mevlüt Çavuşoğlu s'est entretenu par téléphone avec le secrétaire d'État américain John Kerry. Pour la suite, </t>
  </si>
  <si>
    <t>Avertissement sévère de l'Iran aux États-Unis : « On n'est pas à New York »  .  Le président iranien Hassan Rohani : « Le golfe Persique appartient au peuple iranien et s'appellera toujours le golfe Persique »</t>
  </si>
  <si>
    <t>Réponse des États-Unis à la Corée du Nord concernant Sony  .  Le gouvernement américain a décidé d’imposer des sanctions supplémentaires à la Corée du Nord en raison de la cyberattaque contre la société Sony</t>
  </si>
  <si>
    <t>La Grèce reste déterminée sur la question des réparations  .  Le porte-parole du gouvernement grec, Sakellaridis, a évoqué les relations entre la Grèce et l’Allemagne concernant la Seconde Guerre mondiale</t>
  </si>
  <si>
    <t>18h38 - Le Premier ministre Erdoğan s'est entretenu avec David Cameron  .  Au cours d'un entretien de 20 minutes, le Premier ministre Erdoğan a également abordé les développements en Syrie et en Irak</t>
  </si>
  <si>
    <t xml:space="preserve">Les États-Unis opposent un veto à un État kurde en Syrie  .  Le vice-ministre américain des Affaires étrangères, Antony Blinken, s'est prononcé en faveur d'une Syrie unifiée capable de maintenir la cohésion du pays </t>
  </si>
  <si>
    <t>Les États-Unis ont affirmé que la Chine avait procédé à un essai nucléaire ! Démenti de la Chine face à ces allégations...  .  Le ministère chinois des Affaires étrangères a démenti les allégations américaines selon lesquelles « le gouvernement de Pékin aurait procédé à un essai nucléaire »</t>
  </si>
  <si>
    <t>La Chine riposte aux États-Unis avec des mesures de rétorsion à hauteur de 60 milliards de dollars  .  La Chine a imposé des droits de douane supplémentaires de 5 à 10 % sur des produits d'origine américaine d'une valeur de 60 milliards de dollars</t>
  </si>
  <si>
    <t>12h19 - Appel au dialogue de Biden à Yanukovitch  .  Le vice-président américain Joe Biden s'est entretenu par téléphone avec le président ukrainien Viktor Yanukovitch.</t>
  </si>
  <si>
    <t>La Grèce a approuvé l'adhésion de la Macédoine à l'OTAN  .  Le Parlement grec a approuvé l'adhésion de la Macédoine, son voisin, à l'OTAN, à la suite de l'accord conclu sur la question du nom</t>
  </si>
  <si>
    <t>« Les États-Unis sont responsables de la hausse des prix du pétrole »  .  Le président russe Vladimir Poutine a déclaré que les États-Unis étaient responsables de la hausse des prix du pétrole</t>
  </si>
  <si>
    <t>Comment la Syrie va-t-elle être divisée ?  .  Alors que les spéculations allaient bon train dans les médias, j’ai rédigé un article intitulé « La Syrie, c’est aussi la Russie »</t>
  </si>
  <si>
    <t>09h40 - Israël : un tir de mortier depuis Gaza  .  L'armée israélienne a affirmé qu'un tir de mortier avait été effectué depuis Gaza.</t>
  </si>
  <si>
    <t>Marche de protestation des Rohingyas contre les persécutions  .  Des milliers de musulmans rohingyas, ayant fui les persécutions au Myanmar pour se réfugier au Bangladesh, depuis deux ans</t>
  </si>
  <si>
    <t>12h25 - L'attente anxieuse se poursuit à Hong Kong  .  Alors que les manifestations pro-démocratie à Hong Kong entrent dans leur 5e jour, la plus grande manifestation jamais organisée contre le gouvernement chinois</t>
  </si>
  <si>
    <t>Un an de prison pour avoir assisté à un match de volley-ball  .  Ghoncheh Ghavami, une Iranienne de 25 ans, est sortie de chez elle pour assister au match de volley-ball Iran-Italie</t>
  </si>
  <si>
    <t>Minute de silence en uniforme sur le terrain  .  Lors des matchs de football disputés hier en Premier League d’Azerbaïdjan, en référence aux affrontements survenus à la frontière arménienne</t>
  </si>
  <si>
    <t>Le bilan s’élève à 100 morts après une frappe aérienne sur une prison au Yémen  .  Les avions de combat de la coalition arabe dirigée par l’Arabie saoudite ont mené une</t>
  </si>
  <si>
    <t>Israël a attaqué avec des hélicoptères et des avions  .  Des avions de combat et des hélicoptères de l'armée israélienne ont frappé divers endroits de la bande de Gaza sous blocus</t>
  </si>
  <si>
    <t>Les États-Unis ont encore facilement gagné  .  En basket-ball, dans le groupe C de la Coupe du monde FIBA 2014, les États-Unis ont battu la Nouvelle-Zélande 98-71. Cliquez ici pour la suite</t>
  </si>
  <si>
    <t>La Corée du Nord et la Corée du Sud ont commencé à déminer la frontière  .  Le ministère sud-coréen de la Défense a annoncé que certaines mines terrestres situées dans la zone frontalière entre la Corée du Nord et la Corée du Sud</t>
  </si>
  <si>
    <t>22h55 - Karzaï condamne les États-Unis  .  Le président afghan Hamid Karzaï a condamné les forces américaines pour avoir attaqué une maison à Helmand à l'aide de drones</t>
  </si>
  <si>
    <t>12h00 - Séisme de magnitude 7,3 en Papouasie-Nouvelle-Guinée  .  Un séisme de magnitude 7,3 s'est produit en Papouasie-Nouvelle-Guinée, au nord du continent australien.</t>
  </si>
  <si>
    <t>Un paquebot américain arrive à Cuba après 40 ans  .  Un paquebot battant pavillon américain a accosté dans le port de La Havane, la capitale de Cuba, après environ 40 ans d'absence.D</t>
  </si>
  <si>
    <t>La fête a commencé tôt  .  Du monde entier, de l'Australie aux États-Unis, on a fêté le Nouvel An avec des feux d'artifice. Cependant, dans la plupart des pays, les célébrations ont eu lieu un jour plus</t>
  </si>
  <si>
    <t xml:space="preserve">La Serbie, championne du monde  .  En finale du Championnat du monde de volley-ball féminin 2018, la Serbie a battu l'Italie 3-2 et est devenue championne du monde </t>
  </si>
  <si>
    <t>Pentagone : « Il ne reste plus aucune zone contrôlée par Daech en Libye »  .  Le capitaine Jeff Davis, porte-parole du ministère américain de la Défense (Pentagone), a déclaré que la ville de Syrte avait été libérée des militants de Daech</t>
  </si>
  <si>
    <t>Fiasco Belhanda à la Coupe du monde !  .  Younes Belhanda, le numéro 10 de Galatasaray qui affrontait le Maroc lors de la Coupe du monde de la FIFA, Espagne, Por</t>
  </si>
  <si>
    <t>Des chars russes en Ukraine  .  Les tensions qui durent depuis plusieurs mois dans l’est de l’Ukraine s’intensifient. Des chars et des véhicules blindés russes</t>
  </si>
  <si>
    <t>Cette accusation a poussé les États-Unis à agir  .  Le secrétaire d’État américain John Kerry a déclaré que les militants de l’organisation terroriste Daech utilisaient du chlore contre les forces de sécurité irakiennes</t>
  </si>
  <si>
    <t>La Méditerranée est devenue le cimetière de 2 000 migrants en 7 mois  .  Après avoir atteint la Méditerranée via l’Afrique, ils ont tenté de rejoindre l’Europe, principalement la Grande-Bretagne, la France et l’Allemagne</t>
  </si>
  <si>
    <t>L'EI et les talibans concluent un cessez-le-feu contre les États-Unis. Des experts américains en sécurité ont révélé que la branche de l'organisation terroriste EI opérant en Afghanistan et les talibans</t>
  </si>
  <si>
    <t>Les réseaux sociaux ont commenté la finale Federer-Nadal. Lors de la finale du simple messieurs de l'Open d'Australie, le Suisse Roger Federer et l'Espagnol Rafael</t>
  </si>
  <si>
    <t>Zeynep Coşkun, qui a perdu la vie aux côtés de Mina Başaran, a également été inhumée  .  L'avion qui avait décollé des Émirats arabes unis à destination d'Istanbul et s'est écrasé en Iran, causant la mort de 11 personnes</t>
  </si>
  <si>
    <t>Un message clair de l'UE et de la Russie à Barzani !  .  Le référendum sur l'indépendance annoncé pour le 25 septembre dans le nord de l'Irak inquiète également l'Union européenne</t>
  </si>
  <si>
    <t>Porochenko s'est entretenu avec Merkel  .  Le président ukrainien Petro Porochenko s'est entretenu par téléphone avec la chancelière allemande Angela Merkel. Suite</t>
  </si>
  <si>
    <t>00h55 - Vote sur la Palestine au Parlement britannique  .  Le Parlement britannique votera ce mois-ci sur une motion relative à la reconnaissance de la Palestine.</t>
  </si>
  <si>
    <t>Les Kurdes de l’opposition s’opposent au plan sournois des États-Unis  .  Le Conseil national kurde de Syrie, formé par l’union des groupes kurdes opposés au régime en Syrie, s’oppose également au plan des États-Unis</t>
  </si>
  <si>
    <t>Vacances romantiques  .  La célèbre actrice espagnole Paz Vega poursuit ses vacances en Italie avec son mari Orson Salazar. Hier, à Taormine</t>
  </si>
  <si>
    <t>Il s'est prosterné après un but pour protester contre le terrorisme  .  Kostas Barbar, d'origine chypriote et né en Nouvelle-Zélande, qui joue pour l'équipe australienne Melbourne Victory</t>
  </si>
  <si>
    <t>On a appris qu'une délégation du ministère de la Défense nationale se rendra en Fédération de Russie  .  Selon des informations provenant de sources sécuritaires, une délégation du ministère de la Défense nationale se rendra en Syrie</t>
  </si>
  <si>
    <t>La Cour d'urgence égyptienne a rendu sa décision concernant « Israël »  .  Dans le procès intenté en Égypte pour demander que l'État d'Israël soit reconnu comme un « État terroriste », la décision de non-lieu a été prononcée</t>
  </si>
  <si>
    <t>Dernière minute : deux soldats américains ont été tués en Afghanistan  .  Dernière minute : deux soldats américains en mission en Afghanistan sous l'égide de l'OTAN ont été tués lors d'une opération</t>
  </si>
  <si>
    <t>Obama aurait discuté avec la Russie pour empêcher la chute d’Assad  .  Andrew, ancien sous-secrétaire à la Défense (Pentagone) sous l’ancien président américain Barack Obama</t>
  </si>
  <si>
    <t>L’Arabie saoudite a interdit Bein Sports  .  Bein Sports est la dernière entité à avoir été touchée par le blocus imposé au Qatar ces derniers jours. L'Arabie saoudite, Be</t>
  </si>
  <si>
    <t>La Corée du Nord se rapproche de la Russie. La Corée du Nord enverra prochainement un représentant de haut niveau dans ce pays afin de renforcer ses relations avec la Russie</t>
  </si>
  <si>
    <t>Des bateaux de pêche de Mauritanie et de Géorgie en provenance d'Ordu. Les bateaux de pêche construits dans le chantier naval d'Ordu, qui emploie environ 80 personnes, sont destinés au marché intérieur ainsi qu'à l'exportation</t>
  </si>
  <si>
    <t>23 h 19 - Un étudiant turc a été tué aux États-Unis. Diren Dede, un jeune de 17 ans d’origine turque, a été abattu par un tir de fusil aux États-Unis, où il s’était rendu dans le cadre d’un « échange étudiant » depuis l’Allemagne</t>
  </si>
  <si>
    <t>19 h 03 - Un passager aurait-il été jeté d’un avion ? Au Niger, une personne aurait été jetée ou aurait sauté d’un avion appartenant à la compagnie aérienne nationale française Air France</t>
  </si>
  <si>
    <t>L'armée libyenne a abattu un drone des Émirats arabes unis à Syrte  .  L'armée libyenne a abattu à Syrte un drone appartenant aux Émirats arabes unis, utilisé par les milices du chef des forces armées illégitimes de l'est du pays, Khalifa Haftar</t>
  </si>
  <si>
    <t>Une accusation choquante concernant Assad  .  Alors que les États-Unis et leurs alliés s'apprêtent à lancer une opération militaire, le président syrien Bachar al-Assad</t>
  </si>
  <si>
    <t xml:space="preserve">La France a ri jusqu'au dernier souffle  .  Lors du match du groupe A de l'UEFA 2016, la France, pays hôte, a affronté l'Albanie. Un match très disputé </t>
  </si>
  <si>
    <t>Crise autour du drapeau palestinien en Suède  .  Lors d'un séminaire en Suède, premier pays de l'Union européenne à avoir reconnu l'État palestinien, le drapeau palestinien a été qualifié de symbole terroriste</t>
  </si>
  <si>
    <t>Une amende de 30 millions d'euros infligée à Starbucks par les Pays-Bas  .  La Commission européenne a condamné Starbucks à une amende de 30 millions d'euros pour des avantages fiscaux accordés par les Pays-Bas et le Luxembourg à Chrysler</t>
  </si>
  <si>
    <t>Le coup d'État militaire au Gabon a été réprimé, les auteurs de la déclaration ont été arrêtés  .  Özge Düzgün, (DHA) – La tentative de coup d'État survenue tôt ce matin au Gabon, pays d'Afrique australe, a été réprimée</t>
  </si>
  <si>
    <t>L'adversaire de Çağla est l'Américaine Rogers  .  Au premier tour de Roland-Garros, la joueuse de tennis nationale a battu son adversaire croate Lucic-Baroni 2-0 en deux sets 6-3</t>
  </si>
  <si>
    <t>Pas de coopération avec Israël  .  La télévision russe a déclaré, au sujet de l'attaque qu'Israël aurait menée contre la Syrie le 5 juillet : « Isra</t>
  </si>
  <si>
    <t>Des cartes postales contenant de l'héroïne ont été saisies à Bursa  .  À Bursa, quatre cartes postales contenant de l'héroïne et destinées à être envoyées par colis en Allemagne et en Autriche ont été</t>
  </si>
  <si>
    <t>Le Pentagone a trouvé un nouveau nom pour les terroristes qu'il a formés en Syrie  .  Le porte-parole du ministère américain de la Défense (Pentagone), Eric Pahon, a déclaré que la création d’une « force de sécurité frontalière » en Syrie</t>
  </si>
  <si>
    <t>L’Égypte a fermé le poste-frontière de Rafah  .  L’Égypte a fermé le poste-frontière de Rafah vers la bande de Gaza après un attentat à la bombe qui a fait 26 morts parmi les soldats dans le gouvernorat du Nord-Sinaï</t>
  </si>
  <si>
    <t>En trois jours, 20 000 Kurdes ont fui vers l’Irak  .  Les Kurdes exposés aux bombardements des forces d'Assad en Syrie ont quitté leurs maisons et leurs biens, même à pied</t>
  </si>
  <si>
    <t>« L'Iran a mené des pourparlers secrets avec les États-Unis pendant deux ans »  .  Le conseiller politique du président iranien, Ebutalibi, a révélé que des pourparlers secrets avaient eu lieu avec les États-Unis pendant deux ans sous le mandat d'Ahmadinejad</t>
  </si>
  <si>
    <t>Commentaire du ministre grec de la Défense Apostolakis sur le S-400  .  Le ministre grec de la Défense, Evangelos Apostolakis, s'est exprimé sur l'acquisition par la Turquie du système de défense aérienne S-400 auprès de la Russie</t>
  </si>
  <si>
    <t>Premier exercice militaire conjoint entre le Pakistan et la Russie !  .  Il a été annoncé que le Pakistan et la Russie allaient mener leur premier exercice militaire conjoint. Cliquez ici pour la suite</t>
  </si>
  <si>
    <t>Alliance entre Çalık et le Japon au Turkménistan  .  Le Turkménistan, pays riche en gaz naturel, et le Japon, pays de la technologie, unissent leurs forces</t>
  </si>
  <si>
    <t>54 kilos de cocaïne saisis à Istanbul  .  La police des stupéfiants d'Istanbul a démantelé un réseau de trafic de drogue vers l'Europe via l'Iran, la Géorgie et la Turquie</t>
  </si>
  <si>
    <t>Le coronavirus apparu en Chine s'est propagé aux États-Unis  .  Les nouvelles concernant le virus qui secoue le monde nous parviennent cette fois-ci des États-Unis. Le premier cas de coronavirus aux États-Unis a été</t>
  </si>
  <si>
    <t>Match Ukraine-Kosovo à Cracovie  .  Le match opposant l'Ukraine et le Kosovo, deux de nos adversaires dans les éliminatoires de la Coupe du monde 2018, se jouera</t>
  </si>
  <si>
    <t>Des contrôles 24 heures sur 24 seront mis en place à la frontière entre l'Allemagne et l'Autriche !  .  À la frontière entre l'État allemand de Bavière et l'Autriche, des contrôles seront effectués 24 heures sur 24 à partir du 15 décembre 2016</t>
  </si>
  <si>
    <t xml:space="preserve">Crise du drapeau à Gibraltar  .  La crise entre l'Angleterre et l'Espagne au sujet de Gibraltar a pris une nouvelle dimension. La police espagnole en mer </t>
  </si>
  <si>
    <t>Dernières nouvelles : le nombre de cas de coronavirus en Israël est passé à 10 ! Le coronavirus continue de semer la peur  .  Le coronavirus, apparu dans la ville chinoise de Wuhan et qui s'est rapidement propagé dans le monde entier</t>
  </si>
  <si>
    <t>Le président du Kirghizistan a été pris d'un malaise en Turquie  .  Alors qu'il s'apprêtait à embarquer à Istanbul pour se rendre à la session de l'Assemblée générale des Nations unies à New York, il s'est senti mal</t>
  </si>
  <si>
    <t>Esper et Milley ont également participé à la rencontre entre Trump et Erdoğan  .  Le ministre américain de la Défense, Mark Esper, et le chef d'état-major, le général Mark Milley, ont discuté de la situation en Syrie</t>
  </si>
  <si>
    <t>Aucun but n'a été marqué lors du match de préparation de Bursaspor  .  Lors de son troisième match de préparation au camp d'entraînement en Autriche, Bursaspor a affronté l'Al Fayha FC, une équipe saoudienne, et</t>
  </si>
  <si>
    <t>Le monde des affaires ouvre la voie à Gaza  .  Les efforts de diplomatie civile menés avec Israël s’accélèrent. Une délégation présidée par la TOBB s’est rendue à Gaza</t>
  </si>
  <si>
    <t>Les Russes ont intercepté un drone américain  .  La Russie a annoncé avoir fait atterrir un drone américain (UAV) qu’elle avait repéré au-dessus de la Crimée. L’armement russe</t>
  </si>
  <si>
    <t>La violence policière se propage au cœur de l’Europe. En France, les Gilets jaunes, qui protestent contre la hausse des prix du carburant, sont également descendus dans les rues hier en Belgique. Le chef</t>
  </si>
  <si>
    <t>Le seul endroit en Espagne où aucun cas de coronavirus n’a été détecté : Zahara de la Sierra. En Espagne, pays qui compte le plus grand nombre de cas de coronavirus en Europe, entre Séville et Gibraltar, k</t>
  </si>
  <si>
    <t>Appel éclair de Trump sur le Jammu-et-Cachemire  .  Le président américain Donald Trump, après que l'Inde a mis fin au statut privilégié du Jammu-et-Cachemire</t>
  </si>
  <si>
    <t>Un hamburger à 4 000 livres  .  Le chef britannique Chris Large a préparé le hamburger le plus cher du monde. Il contient du homard du Canada, de la viande de cerf, de l</t>
  </si>
  <si>
    <t xml:space="preserve">Un arbitre espagnol pour le match Başakşehir-Alkmaar  .  Les Bleu et Orange recevront le représentant néerlandais lors du 3e tour de qualification de l'UEFA Europa League </t>
  </si>
  <si>
    <t>Réaction de la Palestine aux déclarations de Pompeo  .  Le ministre américain des Affaires étrangères Mike Pompeo a évoqué l'annexion des territoires de la Cisjordanie occupée</t>
  </si>
  <si>
    <t>Accusation choquante contre Poutine !  .  La plateforme d'enquête Bellingcat a révélé que le vol MH1 de Malaysia Airlines, abattu en Ukraine par un missile de fabrication russe</t>
  </si>
  <si>
    <t>Özcan Deniz va-t-il s'exprimer sur son concert en Israël ?  .  En réaction à l'occupation de la Palestine et aux persécutions contre les Palestiniens, de nombreuses stars mondiales ont annulé leurs concerts</t>
  </si>
  <si>
    <t>La Russie a remboursé les dettes de l'Union soviétique !  .  La Russie a remboursé toutes les dettes héritées de l'Union soviétique en versant 125 millions de dollars à la Bosnie-Herzégovine</t>
  </si>
  <si>
    <t>« Le libéralisme est désormais caduc »  .  Dans une interview accordée au Financial Times avant le sommet du G20 qui s'est ouvert à Osaka, au Japon, la Russie</t>
  </si>
  <si>
    <t>Merkel a rencontré le roi Salmane  .  Le roi Salmane d’Arabie saoudite et la chancelière allemande Merkel se sont entretenus par téléphone. Cliquez ici pour la suite</t>
  </si>
  <si>
    <t>Une révélation fracassante du Financial Times !  .  Il s’avère qu’Israël est le plus gros client du pétrole provenant de la région kurde du nord de l’Irak. Anglais</t>
  </si>
  <si>
    <t>Les États-Unis renforcent leur présence sur les gisements pétroliers en Syrie  .  Le ministère américain de la Défense (Pentagone) a déployé des forces dans la région afin de protéger les gisements pétroliers situés dans l'est de la Syrie</t>
  </si>
  <si>
    <t>Déclaration de la Russie sur une « opération terrestre » qui ressemble à une menace  .  La Russie a directement critiqué l'envoi de troupes sur le territoire syrien par les membres de la coalition sans l'autorisation du Conseil de sécurité de l'ONU</t>
  </si>
  <si>
    <t>Opération de l'Arabie saoudite au Yémen  .  L'Arabie saoudite a lancé une opération aérienne contre les militants houthis qui poursuivent leur avancée au Yémen</t>
  </si>
  <si>
    <t>Erdoğan et Merkel soulignent l'intégrité territoriale de la Syrie  .  Le président Recep Tayyip Erdoğan et la chancelière de la République fédérale d'Allemagne Angela Merkel se sont entretenus hier par télé</t>
  </si>
  <si>
    <t>C'est maintenant au tour des « gilets rouges » d'entrer en scène  .  Aux Pays-Bas, après les « gilets jaunes », les « gilets rouges » s'apprêtent à descendre dans la rue. En France, cela a commencé</t>
  </si>
  <si>
    <t>Tout pour que « les enfants soient heureux »...  .  À Gaza, Mohammed Baraka, 20 ans, qui vit sous le blocus israélien, attire l’attention par son talent hors du commun</t>
  </si>
  <si>
    <t>14 h 11 - Des civils ont été touchés par des tirs aériens en Ukraine : 4 morts  .  Dans la ville de Lougansk, dans l’est de l’Ukraine, des affrontements ont éclaté entre les forces armées et les séparatistes pro-russes</t>
  </si>
  <si>
    <t>Le sommet États-Unis-Corée du Nord a été annulé !  .Le sommet historique prévu entre le président américain Donald Trump et le dirigeant nord-coréen Kim Jong Un</t>
  </si>
  <si>
    <t xml:space="preserve">Commandant américain : la Corée du Nord pourrait nous frapper avec un missile nucléaire  . ALERTE À LA CORÉE DU NORD AU PENTAGONE La Corée du Nord dispose de missiles balistiques KN-08 capables de transporter des ogives nucléaires </t>
  </si>
  <si>
    <t>Déclarations frappantes du porte-parole de la présidence İbrahim Kalın :  Ceux qui soutiennent Haftar sont du mauvais côté...  .Le porte-parole de la présidence, İbrahim Kalın, s'est exprimé sur les derniers développements en Libye et la question syrienne. Franc</t>
  </si>
  <si>
    <t>TGO</t>
  </si>
  <si>
    <t>В Аргентине неизвестные ограбили племянника Папы Франциска  .  Неизвестные ограбили племянника Папы Римского Франциска, Хосе Игнасио Бергольо, живущего в пригород</t>
  </si>
  <si>
    <t>Японские истребители поднялись на перехват военных самолетов Китая  .  Японские истребители поднялись на перехват военных самолетов КНР, летевших в сторону воздушного про</t>
  </si>
  <si>
    <t>В Москве считают неприемлемыми заявления США о неуправляемых российских бомбах  .  В Москве считают совершенно неприемлемыми заявления США о том, что Россия использует в Сирии неуправ</t>
  </si>
  <si>
    <t>Великобритания и Новая Зеландия подписали временное торговое соглашение  .  Новая Зеландия и Великобритания подписали временное торговое соглашение на случай, если Соединенно</t>
  </si>
  <si>
    <t>"Исламское государство" ежедневно зарабатывает на продаже нефти более $3 млн  .  Группировка "Исламское государство" /ИГ/, захватившая значительные территории в Сирии и Ираке, ежедн</t>
  </si>
  <si>
    <t xml:space="preserve">Китай поставил перед США вопрос об ограничении полетов американской военной авиации  .  Китай поставил перед США вопрос об ограничении полетов американской военной авиации в международном </t>
  </si>
  <si>
    <t>Лукашенко встретился с и.о. президента Украины  .  Президент Белоруссии Александр Лукашенко сегодня встречается в Гомельской области с назначенным Верх</t>
  </si>
  <si>
    <t>Россия получила от Пентагона согласованный меморандум по безопасности полетов в Сирии  .  Минобороны РФ сегодня утром получило от американских военных согласованный ими меморандум о предотвр</t>
  </si>
  <si>
    <t>США планируют ответить на "чрезмерные притязания" РФ и Китая в Арктике  .  ВМС США планируют ответить на «чрезмерные притязания» России и Китая в Арктике. Об этом сообщает Th</t>
  </si>
  <si>
    <t>Газопровод через Болгарию не должен повторить судьбу "Южного потока" - Медведев  .  Решение о продлении газопровода "Турецкий поток" через Болгарию может быть принято только при полу</t>
  </si>
  <si>
    <t>В Северной Ирландии легализовали аборты и однополые браки  .   Северная Ирландия стала последней страной, входящей в состав Великобритании, где легализовали або</t>
  </si>
  <si>
    <t>В Израиле открыта первая американская военная база  .  По сообщению второго канала израильского ТВ, в Негеве официально открыта первая американская военная</t>
  </si>
  <si>
    <t>Индонезия объявила о приостановке военного сотрудничества и обмена развединформацией с Австралией  .  Индонезия приостановила обмен информацией, включая разведывательной, с Австралией, а также сотруднич</t>
  </si>
  <si>
    <t>Помпео возложил ответственность за атаки на танкеры в Оманском заливе на Иран  .   Иран ответственен за нападения на танкеры в Оманском заливе и своими действиями ведет кампанию по</t>
  </si>
  <si>
    <t xml:space="preserve">Нидерланды официально отозвали своего посла в Турции  .  МИД Нидерландов формально отозвал своего посла в Турции. Об этом сообщает Reuters. Как отмечается, </t>
  </si>
  <si>
    <t>Опубликовано видео тренировки боевиков ПНС под руководством турецких военных  .  Официальный представитель Ливийской национальной армии Ахмад Мисмари провел пресс-конференцию с журн</t>
  </si>
  <si>
    <t>В мае Помпео может посетить Чехию с рабочим визитом - глава МИД республики  .   Государственный секретарь США Майкл Помпео может посетить Чехию с рабочим визитом в начале мая те</t>
  </si>
  <si>
    <t>WP: Трамп собирается объявить об аннулировании "ядерной сделки" с Ираном  .  Президент США Дональд Трамп собирается на следующей неделе объявить об аннулировании Совместного вс</t>
  </si>
  <si>
    <t>Расширенные санкции США против российских компаний сегодня вступят в силу  .  Расширенные санкции, объявленные 30 июля США в отношении граждан и компаний России и Украины, вступя</t>
  </si>
  <si>
    <t>ИАТА: На маршруте полета "Боинга" над Украиной ограничений не было  .  В воздушном пространстве, где шел разбившийся на Украине пассажирский самолет "Малайзийских авиалин</t>
  </si>
  <si>
    <t>Франция вышла в полуфинал чемпионата мира по футболу  .  Сборная Франции по футболу одержала победу над командой Уругвая со счетом 2:0 в матче 1/4 финала че</t>
  </si>
  <si>
    <t>Большинство населения Окинавы выступило против военной базы США  .   Подавляющее большинство жителей японской префектуры Окинава выступили против сохранения на террит</t>
  </si>
  <si>
    <t>Двое израильских солдат убиты в секторе Газа за несколько часов до начала перемирия  .  Двое израильских солдат погибли в пятницу вечером в перестрелке с боевиками в секторе Газа, где сего</t>
  </si>
  <si>
    <t>Порошенко сообщил Меркель, что готов пустить гуманитарную миссию в Луганск  .  Президент Украины Петр Порошенко сообщил в телефоном разговоре с канцлером Германии Ангелой Меркель,</t>
  </si>
  <si>
    <t>В сбитом с ног журналисткой сирийском беженце опознали боевика "Аль-Каиды"  .  Сирийские курды опознали в беженце, которому подставила подножку журналист одного из венгерских теле</t>
  </si>
  <si>
    <t xml:space="preserve">Политика Трампа угрожает сохранению мира, считают в Германии  .  Немцы считают действия президента США Дональда Трампа более опасными, чем действия его российского </t>
  </si>
  <si>
    <t>Главы Венгрии и США обсудили альтернативу российскому газу  .   Премьер Венгрии обсудил с президентом США альтернативу российскому газу. Виктор Орбан и Дональд Т</t>
  </si>
  <si>
    <t>Из-за второй ветки "Северного потока" Украина может потерять до 3% ВВП  .  Запуск второй ветки газопровода Северный поток существенно уменьшит транзит природного газа через Ук</t>
  </si>
  <si>
    <t>США обеспокоены возможным захватом власти в Афганистане  .  Госсекретарь США Джон Керри выразил "серьезную озабоченность" по поводу разногласий среди политическ</t>
  </si>
  <si>
    <t xml:space="preserve">Путин посетит сегодня Туркмению  .  Владимир Путин посетит сегодня Туркмению. Поездка Путина в среднеазиатскую республику станет первой </t>
  </si>
  <si>
    <t>Украинский МИД занялся нападением на российского дипломата в Панаме  .  Дело о ранении украинцем российского дипломата в Панаме сейчас находится на контроле посольства Укр</t>
  </si>
  <si>
    <t>Власти США считают, что о военном вторжении в Венесуэлу говорят только Мадуро и Россия  .   Спецпредставитель США по Венесуэле Эллиотт Абрам утверждает, что угрозу американского военного вт</t>
  </si>
  <si>
    <t>Асад назвал саудовскую трактовку ислама угрозой миру  .  Президент Сирии Башар Асад назвал ислам ваххабитского толка, являющийся государственной религией Сау</t>
  </si>
  <si>
    <t>Лавров считает, что США могут пойти на военную интервенцию в Венесуэлу  .   Россия считает, что Соединенные Штаты могут пойти на военную интервенцию в Венесуэлу вопреки пози</t>
  </si>
  <si>
    <t>"Мистрали" передадут Египту только после демонтажа российского оборудования  .  Египет получит купленные у Франции вертолетоносцы класса "Мистраль" только после того, как с корабл</t>
  </si>
  <si>
    <t>Медведев поддержал предложение Миллера о продаже Украине газа по предоплате  .  Глава российского "Газпрома" Алексей Миллер предложил перевести продажу газа для Украины по предопла</t>
  </si>
  <si>
    <t xml:space="preserve">В Турции отпустили жену и дочь сотрудника генконсульства США  .  Задержанные в Турции жена и дочь Метина Топуза, сотрудника американского генерального консульства в </t>
  </si>
  <si>
    <t>Мэр Лондона назвал "лицемерным" намерение Обамы поддержать членство Великобритании в ЕС  .  Мэр Лондона Борис Джонсон раскритиковал планируемый визит президента США Барака Обамы в Великобритан</t>
  </si>
  <si>
    <t>Украина требует от Британии убрать трезубец из списка экстремистских символов  .   Посольство Украины в Лондоне потребовало у британской полиции исключить трезубец, изображенный на</t>
  </si>
  <si>
    <t xml:space="preserve">Разведка США: Северная Корея может вскоре провести новый запуск ракеты  .  Разведслужбы США считают, что КНДР может в ближайшее время осуществить очередной запуск ракеты. Об </t>
  </si>
  <si>
    <t>Армия Пакистана обстреляла населенные пункты на границе с Индией  .   Военные Пакистана нарушили режим прекращения огня и обстреляли несколько населенных пунктов в шта</t>
  </si>
  <si>
    <t>Мексиканский военный вертолет обстрелял американских пограничников  .  Мексиканский военный вертолет в ночь со среды на четверг вторгся в воздушное пространство США и обс</t>
  </si>
  <si>
    <t>США запретили полеты над территорией Ирака  .  Власти США запретили всем американским авиаперевозчикам летать над Ираком, заявило Федеральное авиа</t>
  </si>
  <si>
    <t>Израиль обсудил с США аннексию Западного берега  .  Премьер-министр Израиля Биньямин Нетаньяху сообщил, что обсудил с американским президентом Дональд</t>
  </si>
  <si>
    <t>Глава МВД Италии прокомментировал запрет на въезд Кутуньо в Украину  .   Вице-премьер и глава МВД Италии Маттео Сальвини, комментируя инициативу украинских депутатов о за</t>
  </si>
  <si>
    <t>"Нафтогаз" готов продолжить переговоры по газу с РФ весной  .  В случае неудачи переговоров по транзиту российского газа через Украину в 2019 году Киев намерен п</t>
  </si>
  <si>
    <t>Польша и США отработают переброску в страну системы ПРО "Пэтриот"  .  В конце марта вооруженные силы Польши и СЩА проведут учения, направленные на отработку переброски си</t>
  </si>
  <si>
    <t>СМИ: В Турции застрелен сирийский журналист, критиковавший ИГ  .  Сирийский журналист Наджи Джерф, критиковавший действия террористической группировки "Исламское госу</t>
  </si>
  <si>
    <t>Турция угрожает срывом переговоров по Сирии, если на них будут курды  .  Турция угрожает, что сорвет мирные переговоры между Дамаском и оппозицией, если на них будут пригла</t>
  </si>
  <si>
    <t>Путин словами Рейгана опроверг слухи о вмешательстве РФ в выборы в США  .  Президент России Владимир Путин вновь, на этот раз уже на английском языке, опроверг слухи о вмешат</t>
  </si>
  <si>
    <t xml:space="preserve">AP: Министр обороны Польши утверждает, что Египет намерен продать "Мистрали" России  .  Министр обороны Польши Антоний Мачеревич утверждает, что Египет намерен за символическую сумму в $1 </t>
  </si>
  <si>
    <t>Все участники женевской встречи одобрили "Дорожную карту" ОБСЕ по урегулированию кризиса на Украине  .  В течение последних дней действующий председатель, глава МИД Швейцарии Дидье Буркхальтер получил поз</t>
  </si>
  <si>
    <t>США ввели санкции против нескольких российских банков  .  США в связи с ситуацией на Украине ввели санкции против Объединенной судостроительной корпорации, ВТ</t>
  </si>
  <si>
    <t>МИД Франции: Расколоть ЕС у американцев не получится  .  Глава МИД Франции Жан-Марк Эйро предостерег США от попыток ослабить или разделить Европу, - пишет Г</t>
  </si>
  <si>
    <t>Саудовская Аравия намерена перещеголять Китай в строительстве самого высокого в мире здания  .  Строительство самого высокого здания в мире начнется в Саудовской Аравии 27 апреля, пишет The Verge.</t>
  </si>
  <si>
    <t>В Иране разбился турецкий самолет  .  От 11 до 20 человек находились на борту разбившегося в воскресенье в Иране частного турецкого самол</t>
  </si>
  <si>
    <t>ЦРУ 50 лет читало чужие "письма" через свою тайную фирму в Швейцарии - СМИ  .   Центральное разведывательное управление (ЦРУ) США с помощью базировавшейся в Швейцарии компании C</t>
  </si>
  <si>
    <t>Американские противотанковые комплексы Javelin поступили в Грузию  .  Первая партия американских противотанковых комплексов (ПТРК) Javelin передана Грузии. Об этом во вт</t>
  </si>
  <si>
    <t>Обама и Меркель намерены привлечь Россию к ответственности  .  Президент США Барак Обама и канцлер Германии Ангела Меркель по телефону обсудили ситуацию на юго-вос</t>
  </si>
  <si>
    <t>ВТО рассмотрит претензии США к Китаю по защите прав интеллектуальной собственности  .  Орган Всемирной торговой организации (ВТО) по разрешению споров (ОРС) принял по запросу США решение</t>
  </si>
  <si>
    <t>Сирия передала РФ две неразорвавшиеся крылатые ракеты США - источник  .  Две несдетонировавших в ходе удара США 14 апреля крылатые ракеты, найденные сирийским военными в хор</t>
  </si>
  <si>
    <t xml:space="preserve">КНДР заявила, что США готовят ядерный удар по Северной Корее  .  В Северной Корее обвинили США в планировании ядерного удара после объявления Пентагона об отправке </t>
  </si>
  <si>
    <t>МИД: на министерской встрече по Украине достигнут «определенный прогресс»  .  Определенный прогресс был достигнут по всем основным вопросам на встрече глав МИД России, Германии,</t>
  </si>
  <si>
    <t>Америка не причастна к аварии на космодроме в Иране - Трамп  .   США не причастны к неудаче, которой обернулась предпринятая Ираном в четверг попытка запуска раке</t>
  </si>
  <si>
    <t>Конгресс США запретил поставку истребителей F-35 в Турцию  .  Конгресс США официально запретил поставку истребителей F-35 в Турцию из-за закупок Анкарой российски</t>
  </si>
  <si>
    <t>Конгрессмены США признали геноцид армян  .   Палата представителей США признала геноцид армян в Османской империи. Об этом сообщается в Twitte</t>
  </si>
  <si>
    <t>МИД Франции счиает, что ситуация в Украине может снова обостриться  .  Ситуация на Украине вызывает тревогу и стремится к ухудшению. Такую оценку дал сегодня глава МИД Фр</t>
  </si>
  <si>
    <t>Избранный президент Ирана не боится войны с "жалким" Израилем  .  Избранный президент Ирана Хассан Роухани отверг угрозы военных действий со стороны Израиля. "Когда н</t>
  </si>
  <si>
    <t xml:space="preserve">В Британии выступили против продажи "Ньюкасла" саудовскому принцу  .  Сделка по продаже «Ньюкасл Юнайтед» наследному принцу Саудовской Аравии Мухаммеду бен Салману может </t>
  </si>
  <si>
    <t>Со стороны Сирии по Ливану выпущено 5 ракет  .  Пять ракет взорвались в городе аль-Хармаль на территории Ливана, недалеко от сирийской границы. Об э</t>
  </si>
  <si>
    <t xml:space="preserve">Роскосмос опроверг информацию, что заплатит НАСА за место для космонавта ОАЭ на МКС  .   Госкорпорация "Роскосмос" не собирается платить НАСА за место для космонавта ОАЭ на американском </t>
  </si>
  <si>
    <t>Путин и Обама обменяться на саммите в Турции рукопожатиями  .  Президент России Владимир Путин кратко пообщался с президентом США Бараком Обамой перед началом сам</t>
  </si>
  <si>
    <t xml:space="preserve">Малаец получит гражданство Франции в награду за смелость  .  Власти Франции приняли решение предоставить гражданство малийцу, укрывшему от террористов людей во </t>
  </si>
  <si>
    <t>Сергей Иванов обвинил американские и британские СМИ в дискредитации Путина  .  Американские и британские СМИ начали кампанию по дискредитации российских властей, в том числе през</t>
  </si>
  <si>
    <t>Румыния и Словакия обсудили со спикером Кнессета перенос посольств в Иерусалим  .  По информации службы новостей 10-го канала ИТВ, главы парламентов Румынии и Словакии обсуждали со сп</t>
  </si>
  <si>
    <t>Орешкин допустил замену США на РФ в торговле с Китаем  .   Максим Орешкин допустил замену США на Россию в торговле с Китаем. Глава Минэкономразвития полагает</t>
  </si>
  <si>
    <t xml:space="preserve">Помпео призвал остановить "Северный поток-2"  .   Глава Госдепа США Майкл Помпео в ходе визита в Великобританию выступил против реализации проекта </t>
  </si>
  <si>
    <t>Жительница Украины пыталась в чемодане провезти восьмилетнего сына через польскую границу  .  Гражданка Украины пыталась незаконно ввезти в Польшу своего восьмилетнего сына, спрятав его в чемода</t>
  </si>
  <si>
    <t>Трамп призвал ужесточить из-за терактов проверку приезжих из Франции  .  Кандидат на пост президента США от Республиканской партии Дональд Трамп призвал ужесточить проверку</t>
  </si>
  <si>
    <t>По мнению президента России В. Путина, Египет находится на пороге гражданской войны  .  Сирия уже охвачена гражданской войной, как ни печально, и Египет движется в том же направлении, ска</t>
  </si>
  <si>
    <t>Бразилия разрешила США использовать свой космодром  .   Президент Бразилии Жаир Болсонару сообщил о подписании соглашения с США, которое разрешает Вашинг</t>
  </si>
  <si>
    <t>СМИ: В Турции осудили на 6 с лишним лет тюрьмы россиянина, намеревавшегося сбить самолет  .  Гражданина России, который якобы планировал при помощи дрона сбить один из самолетов США, базирующих</t>
  </si>
  <si>
    <t>Малайзия отзывает своего посла в Северной Корее  .  Малайзия отзывает своего посла в КНДР. Ранее сегодня малазийский МИД выразил протест северокорейско</t>
  </si>
  <si>
    <t>Власти Австрии усмотрели в Украине элемент несовместимости с европейскими ценностями  .   Австрия осуждает действия властей Украины из-за запрета на въезд журналисту австрийской телекомпа</t>
  </si>
  <si>
    <t>Израиль нанес авиаудар по позициям исламистов в Газе  .  ВВС Израиля нанесли сегодня удар по позициям радикальных исламистов в секторе Газа. Как сообщает тел</t>
  </si>
  <si>
    <t>В ходе антитеррористической кампании на Синае египтяне убили 30 палестинцев  .  Представитель египетских властей заявил, что в ходе антитеррористической кампании на Синае в прошлом</t>
  </si>
  <si>
    <t>Саудовская Аравия обвинила Иран в причастности к атакам на нефтяные объекты страны  .   Эр-Рияд обвинил Иран в причастности к атакам на нефтяные объекты страны. Как утверждал в среду на</t>
  </si>
  <si>
    <t xml:space="preserve">Президент Ирана: Мы не пойдем на двусторонние переговоры с США...  .   Ответ руководства Ирана на предложения о начале двусторонних переговорах с США по ядерной сделке </t>
  </si>
  <si>
    <t>Украина за 5 месяцев импортировала газа на $3,37 млрд  .  Украина за январь-май импортировала 12,464 млрд куб м природного газа на общую сумму 3,37 млрд долла</t>
  </si>
  <si>
    <t>Трамп поставил задачу завершить операции в Сирии за полгода - CNN  .  Президент США Дональд Трамп в ходе встречи с военными и советниками по национальной безопасности пос</t>
  </si>
  <si>
    <t xml:space="preserve">Беспилотник США был сбит на большой высоте в 34 км от территории Ирана - Пентагон  .   Беспилотный разведывательный летательный аппарат ВМС США RQ-4 был сбит вооруженными силами Ирана </t>
  </si>
  <si>
    <t>СМИ: Сирийская армия отрезала для боевиков на севере Алеппо пути снабжения из Турции  .  Армия Сирии при поддержке отрядов народного ополчения отрезала главные пути снабжения террористов, в</t>
  </si>
  <si>
    <t>Керри: Россия не поверила предоставленным США доказательствам причастности властей Сирии к химической атаке  .  Соединенные Штаты предоставили России доказательства причастности властей Сирии к последней химическ</t>
  </si>
  <si>
    <t>Трамп пригрозил вывести американские предприятия из Мексики  .  Дональд Трамп пригрозил вывести американские предприятия из  Мексики, если эта страна не обуздает не</t>
  </si>
  <si>
    <t>Посольство РФ в Литве: Депортация Устинова в США не улучшает отношения между странами  .   Российское посольство в Литве подвергло критике решение Апелляционного суда Литвы о выдаче США под</t>
  </si>
  <si>
    <t>Первые группы мигрантов из Центральной Америки достигли границы США  .  Первые группы из так называемого каравана мигрантов из Центральной Америки прибыли на границу Мексик</t>
  </si>
  <si>
    <t>Глава МИД Британии: Русские подрывают все усилия Запада в Сирии  .  Глава МИД Британии считает, что действия России в Сирии лишь разжигают гражданскую войну в стране. П</t>
  </si>
  <si>
    <t>Американского морского пехотинца подозревают в изнасиловании японской туристки  .  Военнослужащий морской пехоты США был задержан сегодня на южном японском острове Окинава. Как сообщ</t>
  </si>
  <si>
    <t>Израиль продолжит строительство в Иерусалиме  .  Более тысячи объектов нового жилья будут построены в Иерусалиме и на Западном берегу реки Иордан, з</t>
  </si>
  <si>
    <t>Сербы в Косове оказались на грани гуманитарной катастрофы - премьер Сербии  .  Сербы автономного сербского края Косово и Метохия оказались на грани гуманитарной катастрофы после в</t>
  </si>
  <si>
    <t>ARG FRA</t>
  </si>
  <si>
    <t>GBR NZL</t>
  </si>
  <si>
    <t>BGR TUR</t>
  </si>
  <si>
    <t>OMN IRN</t>
  </si>
  <si>
    <t>TUR LBY</t>
  </si>
  <si>
    <t>CZE USA</t>
  </si>
  <si>
    <t>FRA URY</t>
  </si>
  <si>
    <t>SYR HUN</t>
  </si>
  <si>
    <t>HUN USA</t>
  </si>
  <si>
    <t>TKM TUR</t>
  </si>
  <si>
    <t>UKR PAN</t>
  </si>
  <si>
    <t>SAU SYR</t>
  </si>
  <si>
    <t>EGY FRA</t>
  </si>
  <si>
    <t>UKR GBR</t>
  </si>
  <si>
    <t>ITA UKR</t>
  </si>
  <si>
    <t>PSE UKR</t>
  </si>
  <si>
    <t>POL USA</t>
  </si>
  <si>
    <t>POL EGY</t>
  </si>
  <si>
    <t>UKR CHE</t>
  </si>
  <si>
    <t>SAU CHN</t>
  </si>
  <si>
    <t>CHE USA</t>
  </si>
  <si>
    <t>USA ARM</t>
  </si>
  <si>
    <t>GBR SAU</t>
  </si>
  <si>
    <t>SYR LBN</t>
  </si>
  <si>
    <t>ARE USA</t>
  </si>
  <si>
    <t>ROM SVK</t>
  </si>
  <si>
    <t>EGY SYR</t>
  </si>
  <si>
    <t>MYS PRK</t>
  </si>
  <si>
    <t>AUT UKR</t>
  </si>
  <si>
    <t>LTU USA</t>
  </si>
  <si>
    <t>ISR JOR</t>
  </si>
  <si>
    <t>SRB KOS</t>
  </si>
  <si>
    <t>En Argentine, des inconnus ont agressé le neveu du pape François  .  Des inconnus ont agressé le neveu du pape François, José Ignacio Bergoglio, qui réside en banlieue</t>
  </si>
  <si>
    <t>Des chasseurs japonais ont décollé pour intercepter des avions militaires chinois  .  Des chasseurs japonais ont décollé pour intercepter des avions militaires de la République populaire de Chine qui se dirigeaient vers l'espace aérien</t>
  </si>
  <si>
    <t>À Moscou, on juge inacceptables les déclarations des États-Unis concernant les bombes russes non guidées  .  À Moscou, on juge tout à fait inacceptables les déclarations des États-Unis selon lesquelles la Russie utilise en Syrie des bombes non guidées</t>
  </si>
  <si>
    <t>La Grande-Bretagne et la Nouvelle-Zélande ont signé un accord commercial provisoire  .  La Nouvelle-Zélande et la Grande-Bretagne ont signé un accord commercial provisoire au cas où le Royaume-Uni</t>
  </si>
  <si>
    <t>« L'État islamique » gagne chaque jour plus de 3 millions de dollars grâce à la vente de pétrole  .  Le groupe « État islamique » (EI), qui a conquis des territoires importants en Syrie et en Irak, gagne chaque jour</t>
  </si>
  <si>
    <t>La Chine a soulevé auprès des États-Unis la question de la limitation des vols de l'aviation militaire américaine  .  La Chine a soulevé auprès des États-Unis la question de la limitation des vols de l'aviation militaire américaine dans l'espace aérien international</t>
  </si>
  <si>
    <t>Les États-Unis prévoient de répondre aux « prétentions excessives » de la Russie et de la Chine dans l’Arctique  .  La marine américaine prévoit de répondre aux « prétentions excessives » de la Russie et de la Chine dans l’Arctique. C’est ce qu’annonce Th</t>
  </si>
  <si>
    <t>Le gazoduc traversant la Bulgarie ne doit pas connaître le même sort que le « South Stream » - Medvedev  .  La décision de prolonger le gazoduc « Turkish Stream » à travers la Bulgarie ne peut être prise qu'avec l'accord</t>
  </si>
  <si>
    <t>L'Irlande du Nord a légalisé l'avortement et le mariage entre personnes du même sexe  .   L'Irlande du Nord est devenue la dernière région du Royaume-Uni à légaliser l'avortement</t>
  </si>
  <si>
    <t>La première base militaire américaine a été inaugurée en Israël  .  Selon la deuxième chaîne de télévision israélienne, la première base militaire américaine a été officiellement inaugurée dans le Néguev</t>
  </si>
  <si>
    <t>L'Indonésie a annoncé la suspension de sa coopération militaire et de l'échange de renseignements avec l'Australie  .  L'Indonésie a suspendu l'échange d'informations, y compris de renseignements, avec l'Australie, ainsi que la coopération</t>
  </si>
  <si>
    <t>Pompeo a imputé la responsabilité des attaques contre des pétroliers dans le golfe d'Oman à l'Iran. L'Iran est responsable des attaques contre les pétroliers dans le golfe d'Oman et mène, par ses actions, une campagne visant à</t>
  </si>
  <si>
    <t xml:space="preserve">Les Pays-Bas ont officiellement rappelé leur ambassadeur en Turquie. Le ministère des Affaires étrangères néerlandais a formellement rappelé son ambassadeur en Turquie. C'est ce qu'indique Reuters. Comme indiqué, </t>
  </si>
  <si>
    <t>Une vidéo montrant l'entraînement de combattants de l'ANL sous la direction de l'armée turque a été publiée  .  Le porte-parole officiel de l'Armée nationale libyenne, Ahmad Mismari, a tenu une conférence de presse avec des journalistes</t>
  </si>
  <si>
    <t>WP : Trump s'apprête à annoncer l'annulation de l'« accord sur le nucléaire » avec l'Iran.  Le président américain Donald Trump s'apprête à annoncer la semaine prochaine l'annulation de l'accord conjoint</t>
  </si>
  <si>
    <t>Les sanctions américaines élargies contre les entreprises russes entreront en vigueur aujourd'hui  .  Les sanctions élargies, annoncées le 30 juillet par les États-Unis à l'encontre de citoyens et d'entreprises russes et ukrainiens, entreront en vigueur</t>
  </si>
  <si>
    <t>IATA : Il n'y avait aucune restriction sur la route de vol du « Boeing » au-dessus de l'Ukraine. Dans l'espace aérien où volait l'avion de ligne de « Malaysia Airlines » qui s'est écrasé en Ukraine</t>
  </si>
  <si>
    <t>La France s'est qualifiée pour les demi-finales de la Coupe du monde de football.  L'équipe de France de football a battu l'équipe de l'Uruguay 2-0 en quart de finale de la</t>
  </si>
  <si>
    <t>La majorité de la population d'Okinawa s'est prononcée contre la base militaire américaine  .   La grande majorité des habitants de la préfecture japonaise d'Okinawa s'est prononcée contre le maintien sur le territoire</t>
  </si>
  <si>
    <t>Deux soldats israéliens ont été tués dans la bande de Gaza quelques heures avant le début du cessez-le-feu.  .  Deux soldats israéliens ont trouvé la mort vendredi soir lors d’un échange de tirs avec des militants dans la bande de Gaza, où ce</t>
  </si>
  <si>
    <t>Poroshenko a informé Merkel qu’il était prêt à autoriser une mission humanitaire à Luhansk.  .  Le président ukrainien Petro Porochenko a déclaré lors d'un entretien téléphonique avec la chancelière allemande Angela Merkel,</t>
  </si>
  <si>
    <t>Un réfugié syrien renversé par une journaliste a été identifié comme un combattant d'Al-Qaïda  .  Les Kurdes syriens ont identifié le réfugié, auquel une journaliste d'une chaîne de télévision hongroise a fait un croche-pied</t>
  </si>
  <si>
    <t>La politique de Trump menace le maintien de la paix, estime-t-on en Allemagne. Les Allemands considèrent les actions du président américain Donald Trump comme plus dangereuses que celles de son homologue russe</t>
  </si>
  <si>
    <t>Les chefs d'État hongrois et américain ont discuté d'une alternative au gaz russe.   Le Premier ministre hongrois a discuté avec le président américain d'une alternative au gaz russe. Viktor Orbán et Donald T</t>
  </si>
  <si>
    <t>En raison du deuxième volet du « Nord Stream », l'Ukraine pourrait perdre jusqu'à 3 % de son PIB  .  La mise en service du deuxième volet du gazoduc Nord Stream réduira considérablement le transit de gaz naturel via l'Ukraine</t>
  </si>
  <si>
    <t>Les États-Unis s'inquiètent d'une éventuelle prise de pouvoir en Afghanistan  .  Le secrétaire d'État américain John Kerry a exprimé sa « profonde inquiétude » face aux dissensions parmi les responsables politiques</t>
  </si>
  <si>
    <t xml:space="preserve">Poutine se rendra aujourd'hui au Turkménistan  .  Vladimir Poutine se rendra aujourd'hui au Turkménistan. Le voyage de Poutine dans cette république d'Asie centrale sera le premier </t>
  </si>
  <si>
    <t>Le ministère ukrainien des Affaires étrangères s'est saisi de l'affaire de l'agression d'un diplomate russe au Panama  .  L'affaire concernant les blessures infligées par un Ukrainien à un diplomate russe au Panama est actuellement suivie par l'ambassade d'Ukraine</t>
  </si>
  <si>
    <t>Assad a qualifié l'interprétation saoudienne de l'islam de menace pour la paix. Le président syrien Bachar al-Assad a qualifié l'islam wahhabite, qui est la religion d'État de l'Arabie saoudite, de</t>
  </si>
  <si>
    <t>Lavrov estime que les États-Unis pourraient recourir à une intervention militaire au Venezuela  .   La Russie estime que les États-Unis pourraient recourir à une intervention militaire au Venezuela, contrairement à la position</t>
  </si>
  <si>
    <t>Les « Mistral » ne seront livrés à l'Égypte qu'après le démontage des équipements russes  .  L'Égypte ne recevra les porte-hélicoptères de classe « Mistral » achetés à la France qu'après le démontage de l'équipement russe des navires</t>
  </si>
  <si>
    <t>Medvedev a soutenu la proposition de Miller de vendre du gaz à l'Ukraine contre paiement anticipé  .  Le directeur général de « Gazprom », Alexeï Miller, a proposé de faire passer la vente de gaz à l'Ukraine en paiement anticipé</t>
  </si>
  <si>
    <t xml:space="preserve">En Turquie, la femme et la fille d'un employé du consulat général des États-Unis ont été libérées  .  La femme et la fille de Metin Topuz, employé du consulat général américain à </t>
  </si>
  <si>
    <t>Le maire de Londres a qualifié d'« hypocrite » l'intention d'Obama de soutenir l'adhésion de la Grande-Bretagne à l'UE  .  Le maire de Londres, Boris Johnson, a critiqué la visite prévue du président américain Barack Obama en Grande-Bretagne</t>
  </si>
  <si>
    <t>L'Ukraine exige de la Grande-Bretagne qu'elle retire le trident de la liste des symboles extrémistes  .   L'ambassade d'Ukraine à Londres a exigé de la police britannique qu'elle retire le trident représenté sur</t>
  </si>
  <si>
    <t xml:space="preserve">Renseignements américains : la Corée du Nord pourrait bientôt procéder à un nouveau tir de missile  .  Les services de renseignement américains estiment que la RPDC pourrait procéder prochainement à un nouveau tir de missile. À propos de </t>
  </si>
  <si>
    <t>L'armée pakistanaise a bombardé des localités à la frontière avec l'Inde  .   L'armée pakistanaise a violé le cessez-le-feu et a bombardé plusieurs localités dans l'État de</t>
  </si>
  <si>
    <t>Un hélicoptère militaire mexicain a tiré sur des gardes-frontières américains  .  Dans la nuit de mercredi à jeudi, un hélicoptère militaire mexicain a violé l'espace aérien américain et a tiré</t>
  </si>
  <si>
    <t>Les États-Unis ont interdit les vols au-dessus du territoire irakien  .  Les autorités américaines ont interdit à toutes les compagnies aériennes américaines de survoler l'Irak, a déclaré l'Administration fédérale de l'aviation</t>
  </si>
  <si>
    <t>Israël a discuté avec les États-Unis de l'annexion de la Cisjordanie  .  Le Premier ministre israélien Benjamin Netanyahou a déclaré avoir discuté avec le président américain Donald</t>
  </si>
  <si>
    <t>Le ministre italien de l'Intérieur a commenté l'interdiction d'entrée de Kutugno en Ukraine.  Le vice-Premier ministre et ministre italien de l'Intérieur, Matteo Salvini, commentant l'initiative des députés ukrainiens visant à</t>
  </si>
  <si>
    <t xml:space="preserve">« Naftogaz » est prêt à poursuivre les négociations sur le gaz avec la Russie au printemps.  En cas d'échec des négociations sur le transit du gaz russe via l'Ukraine en 2019, Kiev a l'intention de </t>
  </si>
  <si>
    <t>La Pologne et les États-Unis vont s'entraîner au déploiement du système de défense antimissile « Patriot » dans le pays  .  Fin mars, les forces armées polonaises et américaines mèneront des exercices visant à s'entraîner au déploiement du</t>
  </si>
  <si>
    <t>Un journaliste syrien critiquant l'EI a été abattu en Turquie  .  Le journaliste syrien Naji Jarf, qui critiquait les actions du groupe terroriste « État islamique »</t>
  </si>
  <si>
    <t>La Turquie menace de faire capoter les négociations sur la Syrie si des Kurdes y participent  .  La Turquie menace de faire capoter les négociations de paix entre Damas et l'opposition si les Kurdes y sont invités</t>
  </si>
  <si>
    <t>Poutine a réfuté, en reprenant les mots de Reagan, les rumeurs d'ingérence de la Russie dans les élections américaines  .  Le président russe Vladimir Poutine a de nouveau, cette fois en anglais, réfuté les rumeurs d'ingérence</t>
  </si>
  <si>
    <t xml:space="preserve">AP : Le ministre polonais de la Défense affirme que l'Égypte a l'intention de vendre les « Mistral » à la Russie  .  Le ministre polonais de la Défense, Antoni Macierewicz, affirme que l'Égypte a l'intention de vendre les « Mistral » à la Russie pour la somme symbolique de 1 $ </t>
  </si>
  <si>
    <t>Tous les participants à la réunion de Genève ont approuvé la « feuille de route » de l'OSCE pour le règlement de la crise en Ukraine  .  Au cours des derniers jours, le président en exercice, le ministre suisse des Affaires étrangères Didier Burkhalter, a reçu</t>
  </si>
  <si>
    <t>Les États-Unis ont imposé des sanctions à plusieurs banques russes  .  En raison de la situation en Ukraine, les États-Unis ont imposé des sanctions à la Corporation unifiée de construction navale, VT</t>
  </si>
  <si>
    <t>Ministère français des Affaires étrangères : les Américains ne parviendront pas à diviser l'UE  .  Le ministre français des Affaires étrangères, Jean-Marc Ayrault, a mis en garde les États-Unis contre toute tentative d'affaiblir ou de diviser l'Europe, écrit G</t>
  </si>
  <si>
    <t>L'Arabie saoudite entend surpasser la Chine dans la construction du plus haut bâtiment du monde  .  La construction du plus haut bâtiment du monde débutera en Arabie saoudite le 27 avril, écrit The Verge.</t>
  </si>
  <si>
    <t>Un avion turc s'est écrasé en Iran  .  Entre 11 et 20 personnes se trouvaient à bord de l'avion privé turc qui s'est écrasé dimanche en Iran</t>
  </si>
  <si>
    <t>La CIA a lu les « lettres » d’autrui pendant 50 ans par l’intermédiaire de sa société secrète en Suisse – médias  .   La CIA (Agence centrale de renseignement) américaine, avec l’aide de la société C basée en Suisse</t>
  </si>
  <si>
    <t>Les systèmes antichars américains Javelin sont arrivés en Géorgie  .  Le premier lot de lance-roquettes antichars américains Javelin a été remis à la Géorgie. C'est ce qu'a annoncé mardi</t>
  </si>
  <si>
    <t>Obama et Merkel ont l'intention de demander des comptes à la Russie  .  Le président américain Barack Obama et la chancelière allemande Angela Merkel ont discuté par téléphone de la situation dans le sud-est</t>
  </si>
  <si>
    <t>L'OMC examinera les plaintes des États-Unis contre la Chine concernant la protection des droits de propriété intellectuelle. L'Organe de règlement des différends (ORD) de l'Organisation mondiale du commerce (OMC) a rendu une décision à la demande des États-Unis</t>
  </si>
  <si>
    <t>La Syrie a remis à la Russie deux missiles de croisière américains qui n'ont pas explosé - source.  Deux missiles de croisière qui n'ont pas explosé lors de la frappe américaine du 14 avril ont été retrouvés par l'armée syrienne à Homs</t>
  </si>
  <si>
    <t>La Corée du Nord a déclaré que les États-Unis préparaient une frappe nucléaire contre la Corée du Nord  .  La Corée du Nord a accusé les États-Unis de planifier une frappe nucléaire après l'annonce par le Pentagone de l'envoi</t>
  </si>
  <si>
    <t>Ministère des Affaires étrangères : des « progrès certains » ont été réalisés lors de la réunion ministérielle sur l'Ukraine  .  Des progrès certains ont été réalisés sur toutes les questions principales lors de la réunion des ministres des Affaires étrangères de la Russie, de l'Allemagne,</t>
  </si>
  <si>
    <t>Les États-Unis ne sont pas impliqués dans l'accident survenu au cosmodrome en Iran - Trump  .   Les États-Unis ne sont pas impliqués dans l'échec de la tentative de lancement de fusée entreprise jeudi par l'Iran</t>
  </si>
  <si>
    <t>Le Congrès américain a interdit la livraison de chasseurs F-35 à la Turquie  .  Le Congrès américain a officiellement interdit la livraison de chasseurs F-35 à la Turquie en raison des achats effectués par Ankara auprès de la Russie</t>
  </si>
  <si>
    <t>Les membres du Congrès américain ont reconnu le génocide arménien  .  La Chambre des représentants américaine a reconnu le génocide arménien sous l'Empire ottoman. C'est ce qu'indique un tweet</t>
  </si>
  <si>
    <t>Le ministère français des Affaires étrangères estime que la situation en Ukraine pourrait à nouveau s'aggraver  .  La situation en Ukraine est préoccupante et tend à se détériorer. C'est l'évaluation qu'a donnée aujourd'hui le ministre français des Affaires étrangères</t>
  </si>
  <si>
    <t>Le président élu iranien ne craint pas la guerre avec un Israël « pitoyable »  .  Le président élu iranien Hassan Rohani a rejeté les menaces d'actions militaires de la part d'Israël. « Quand n</t>
  </si>
  <si>
    <t xml:space="preserve">En Grande-Bretagne, on s'est opposé à la vente de « Newcastle » au prince saoudien  .  La vente de « Newcastle United » au prince héritier d'Arabie saoudite Mohammed ben Salmane pourrait </t>
  </si>
  <si>
    <t xml:space="preserve">Cinq roquettes ont été tirées depuis la Syrie vers le Liban  .  Cinq roquettes ont explosé dans la ville d'Al-Kharmal au Liban, près de la frontière syrienne. À propos de </t>
  </si>
  <si>
    <t>Roscosmos a démenti l'information selon laquelle il paierait la NASA pour une place destinée à un cosmonaute des Émirats arabes unis à bord de la Station spatiale internationale  .   La société d'État « Roscosmos » n'a pas l'intention de payer la NASA pour une place destinée à un cosmonaute des Émirats arabes unis à bord de la Station spatiale internationale</t>
  </si>
  <si>
    <t>Poutine et Obama se sont serré la main lors du sommet en Turquie  .  Le président russe Vladimir Poutine s'est brièvement entretenu avec le président américain Barack Obama avant le début du sommet</t>
  </si>
  <si>
    <t>Un Malien va obtenir la nationalité française en récompense de son courage  .  Les autorités françaises ont décidé d'accorder la nationalité française à un Malien qui a protégé des personnes contre des terroristes à</t>
  </si>
  <si>
    <t>Sergueï Ivanov a accusé les médias américains et britanniques de discréditer Poutine. Les médias américains et britanniques ont lancé une campagne visant à discréditer les autorités russes, notamment en</t>
  </si>
  <si>
    <t>Pompeo a appelé à l'arrêt du projet « Nord Stream 2 »  .   Le chef du département d'État américain, Michael Pompeo, s'est prononcé contre la réalisation du projet lors de sa visite au Royaume-Uni</t>
  </si>
  <si>
    <t>Trump a appelé à renforcer les contrôles des voyageurs en provenance de France en raison des attentats  .  Le candidat républicain à la présidence des États-Unis, Donald Trump, a appelé à renforcer les contrôles</t>
  </si>
  <si>
    <t>Selon le président russe V. Poutine, l'Égypte est au bord de la guerre civile  .  La Syrie est déjà en proie à une guerre civile, aussi triste que cela puisse paraître, et l'Égypte s'engage dans la même voie, selon</t>
  </si>
  <si>
    <t>Le Brésil a autorisé les États-Unis à utiliser son centre spatial  .  Le président brésilien Jair Bolsonaro a annoncé la signature d'un accord avec les États-Unis autorisant Washington</t>
  </si>
  <si>
    <t>Médias : en Turquie, un Russe qui avait l'intention d'abattre un avion a été condamné à plus de six ans de prison  .  Un citoyen russe, qui aurait prévu d'abattre à l'aide d'un drone l'un des avions américains basés</t>
  </si>
  <si>
    <t>La Malaisie rappelle son ambassadeur en Corée du Nord  .  La Malaisie rappelle son ambassadeur en RPDC. Plus tôt dans la journée, le ministère malaisien des Affaires étrangères a protesté contre la décision nord-coréenne</t>
  </si>
  <si>
    <t>Les autorités autrichiennes ont estimé que l'Ukraine présentait un élément d'incompatibilité avec les valeurs européennes  .   L'Autriche condamne les actions des autorités ukrainiennes en raison de l'interdiction d'entrée sur le territoire imposée à un journaliste d'une chaîne de télévision autrichienne</t>
  </si>
  <si>
    <t>Israël a lancé une frappe aérienne contre des positions islamistes à Gaza  .  L'armée de l'air israélienne a frappé aujourd'hui des positions d'islamistes radicaux dans le secteur de Gaza. Selon les informations de la télévision</t>
  </si>
  <si>
    <t>Au cours d'une campagne antiterroriste dans le Sinaï, les Égyptiens ont tué 30 Palestiniens  .  Un représentant des autorités égyptiennes a déclaré que, lors de la campagne antiterroriste menée dans le Sinaï l'année dernière</t>
  </si>
  <si>
    <t>L'Arabie saoudite a accusé l'Iran d'être impliqué dans les attaques contre les installations pétrolières du pays  .   Riyad a accusé l'Iran d'être impliqué dans les attaques contre les installations pétrolières du pays. Comme l'a affirmé mercredi sur</t>
  </si>
  <si>
    <t>Le président iranien : « Nous n'entamerons pas de négociations bilatérales avec les États-Unis...  .   Réponse des dirigeants iraniens aux propositions d'entamer des négociations bilatérales avec les États-Unis sur l'accord sur le nucléaire</t>
  </si>
  <si>
    <t>L'Ukraine a importé pour 3,37 milliards de dollars de gaz en 5 mois  .  Entre janvier et mai, l'Ukraine a importé 12,464 milliards de mètres cubes de gaz naturel pour un montant total de 3,37 milliards de dollars</t>
  </si>
  <si>
    <t>Trump s'est fixé pour objectif de mettre fin aux opérations en Syrie dans six mois - CNN  .  Le président américain Donald Trump, lors d'une réunion avec des responsables militaires et des conseillers à la sécurité nationale, a</t>
  </si>
  <si>
    <t xml:space="preserve">Un drone américain a été abattu à haute altitude à 34 km du territoire iranien - Pentagone  .  Un drone de reconnaissance RQ-4 de la marine américaine a été abattu par les forces armées iraniennes </t>
  </si>
  <si>
    <t>Médias : l'armée syrienne a coupé les voies d'approvisionnement des combattants dans le nord d'Alep en provenance de Turquie  .  L'armée syrienne, avec le soutien des milices populaires, a coupé les principales voies d'approvisionnement des terroristes, à</t>
  </si>
  <si>
    <t>Kerry : la Russie n'a pas cru aux preuves fournies par les États-Unis concernant l'implication des autorités syriennes dans l'attaque chimique  .  Les États-Unis ont fourni à la Russie des preuves de l'implication des autorités syriennes dans la dernière attaque chimique</t>
  </si>
  <si>
    <t>Trump a menacé de retirer les entreprises américaines du Mexique  .  Donald Trump a menacé de retirer les entreprises américaines du  Mexique si ce pays ne mettait pas un frein à la</t>
  </si>
  <si>
    <t>Ambassade de la Fédération de Russie en Lituanie : l'expulsion d'Oustinov vers les États-Unis n'améliore pas les relations entre les deux pays  .   L'ambassade de Russie en Lituanie a critiqué la décision de la Cour d'appel de Lituanie d'extrader vers les États-Unis</t>
  </si>
  <si>
    <t>Les premiers groupes de migrants d'Amérique centrale ont atteint la frontière américaine  .  Les premiers groupes de la « caravane » de migrants d'Amérique centrale sont arrivés à la frontière mexicaine</t>
  </si>
  <si>
    <t>Le ministre britannique des Affaires étrangères : les Russes sapent tous les efforts de l'Occident en Syrie  .  Le ministre britannique des Affaires étrangères estime que les actions de la Russie en Syrie ne font qu'attiser la guerre civile dans le pays. P</t>
  </si>
  <si>
    <t>Un marine américain est soupçonné d'avoir violé une touriste japonaise  .  Un soldat des Marines américains a été arrêté aujourd'hui sur l'île d'Okinawa, au sud du Japon. Comme l'indique</t>
  </si>
  <si>
    <t>Israël poursuivra la construction à Jérusalem  .  Plus d'un millier de nouveaux logements seront construits à Jérusalem et en Cisjordanie, z</t>
  </si>
  <si>
    <t>Les Serbes du Kosovo sont au bord d'une catastrophe humanitaire, selon le Premier ministre serbe  .  Les Serbes de la région autonome du Kosovo-Metohija se trouvent au bord d'une catastrophe humanitaire après que</t>
  </si>
  <si>
    <t xml:space="preserve">  La Russie a reçu du Pentagone un mémorandum approuvé sur la sécurité des vols en Syrie.  .  Le ministère russe de la Défense a reçu ce matin de l'armée américaine un mémorandum approuvé par celle-ci concernant la prévention</t>
  </si>
  <si>
    <t>Loukachenko a rencontré le président par intérim de l'Ukraine  .  Le président biélorusse Alexandre Loukachenko rencontre aujourd'hui dans la région de Gomel le président par intérim de l'Ukraine.  .</t>
  </si>
  <si>
    <t>En mai, Pompeo pourrait se rendre en République tchèque pour une visite de travail - ministre des Affaires étrangères de la République  .Le secrétaire d'État américain Michael Pompeo pourrait se rendre en République tchèque pour une visite de travail début mai</t>
  </si>
  <si>
    <t xml:space="preserve">Les autorités américaines estiment que seuls Maduro et la Russie parlent d'une intervention militaire au Venezuela  . Le représentant spécial des États-Unis pour le Venezuela, Elliott Abram, affirme que la menace d'une intervention militaire américaine </t>
  </si>
  <si>
    <t>Une Ukrainienne a tenté de faire passer son fils de huit ans à la frontière polonaise dans une valise  .Une citoyenne ukrainienne a tenté de faire entrer illégalement en Pologne son fils de huit ans, en le cachant dans une valise</t>
  </si>
  <si>
    <t>IRL</t>
  </si>
  <si>
    <t xml:space="preserve">  Oreshkin a envisagé de remplacer les États-Unis par la Russie dans le commerce avec la Chine.  .  Maxim Oreshkin a envisagé de remplacer les États-Unis par la Russie dans le commerce avec la Chine. </t>
  </si>
  <si>
    <t>La Roumanie et la Slovaquie ont discuté avec le président de la Knesset du transfert des ambassades à Jérusalem.  Selon les informations du service d'information de la chaîne ITV 10, les présidents des parlements roumain et slovaque ont discuté avec le président de la Knesset du transfert des ambassades à Jérusalem.  .</t>
  </si>
  <si>
    <t>Мартин Шульц назвал цинизмом радость российского руководства в связи с результатами референдума в Нидерландах</t>
  </si>
  <si>
    <t>Накануне визита Путина в Будапешт венгры вышли на демонстрацию, выступая против войны в Украине и сближения их страны с Россией</t>
  </si>
  <si>
    <t>Польша задумалась о санкциях против России из-за дела Скрипаля, - СМИ</t>
  </si>
  <si>
    <t>Ракетный обстрел турецкой мечети с территории Сирии: 2 погибших, 12 пострадавших</t>
  </si>
  <si>
    <t>Россия может превратиться в изолированную парию, — глава британской контрразведки</t>
  </si>
  <si>
    <t>В Бельгии продан 5-й по величине алмаз в мире, «Легенда Лесото»</t>
  </si>
  <si>
    <t>Москва отказывалась признавать, что в Сирии был сбит российский боевой вертолет (фото, видео)</t>
  </si>
  <si>
    <t>Туристка из России погибла в Паттайе. Ее сбила машина, которой управлял 72-летний немец</t>
  </si>
  <si>
    <t>Двоюродный брат Путина причастен к перекачке российских миллиардов через эстонский банк</t>
  </si>
  <si>
    <t>В США заявили о создании средств самообороны для Украины и Грузии</t>
  </si>
  <si>
    <t>Президент и премьер Грузии поругались во время торжеств на борту американского военного корабля</t>
  </si>
  <si>
    <t xml:space="preserve">France Football: Россию исключили из чемпионата мира по футболу в Катаре </t>
  </si>
  <si>
    <t xml:space="preserve">На чемпионате мира по хоккею сборная Украины уступила командам Казахстана и Италии </t>
  </si>
  <si>
    <t>18-летняя канадка не пустила Свитолину в финал турнира в Индиан-Уэллсе (видео)</t>
  </si>
  <si>
    <t>Канада ввела санкции в отношении еще 11 граждан России и Украины, ответственных за украинский кризис</t>
  </si>
  <si>
    <t>IKEA отзывает почти 30 миллионов ""комодов-убийц"" в США и Канаде</t>
  </si>
  <si>
    <t>Теракт в столице Норвегии: 20-летний россиянин признался, что хотел убить несколько человек</t>
  </si>
  <si>
    <t>Герман Обухов: ""Рано или поздно Россия признает, что это она сбила ""Боинг"" в небе над Донбассом""</t>
  </si>
  <si>
    <t>Точные удары Мбокани и Ярмоленко принесли киевскому «Динамо» победу над румынской «Университатей» в Австрии</t>
  </si>
  <si>
    <t xml:space="preserve">ЧМ-2018: Уругвай бесцеремонно лишил сборную России первого места в группе  </t>
  </si>
  <si>
    <t>Российские болельщики вышли из автобуса, задержанного французской полицией близ Канн</t>
  </si>
  <si>
    <t>Береговая охрана ФСБ России в 27 км от Бердянской косы задержала турецкий балкер</t>
  </si>
  <si>
    <t>Скандальные российские пранкеры поговорили с министром энергетики США от имени премьера Гройсмана</t>
  </si>
  <si>
    <t>Министр энергетики Польши подтвердил ввоз на территорию страны угля с оккупированных Россией территорий Донбасса</t>
  </si>
  <si>
    <t>Реальная цена предложенного Россией газа составит 173 долл. – Коболев</t>
  </si>
  <si>
    <t>Между Россией и США разгорелся новый шпионский скандал: что об этом известно</t>
  </si>
  <si>
    <t>Россия могла готовить еще один ""Солсбери"" в США, — CNN</t>
  </si>
  <si>
    <t>В Москве пообещали жестко ответить на объявление Молдовой персонами нон-грата пяти российских дипломатов</t>
  </si>
  <si>
    <t>Российские власти заявляют, что, в отличие от Европы и США, они вносят позитив в мировую стабильность</t>
  </si>
  <si>
    <t>Венгрия возвращается на путь войны: Орбан грозит блокировать решения саммита Украина — Грузия — НАТО</t>
  </si>
  <si>
    <t>Россия подтвердила уничтожение своего вертолета в Сирии и гибель одного морпеха</t>
  </si>
  <si>
    <t>ЧМ-2018: Испания едва не проиграла и теперь сразится с Россией (видео)</t>
  </si>
  <si>
    <t>""Я был неправ"": Джонсон сделал заявление о ""перезагрузке"" отношений Великобритании и России</t>
  </si>
  <si>
    <t>""Путин действует как Гитлер"": в Великобритании обсудили будущий курс России</t>
  </si>
  <si>
    <t>Российского солдата, убившего армянскую семью, обещают судить в Армении</t>
  </si>
  <si>
    <t>В банке Лихтенштейна арестованы 13 миллионов швейцарских франков, принадлежащих судье Высшего хозсуда Украины</t>
  </si>
  <si>
    <t>В России не любят свои ""Лады"" даже больше, чем китайские автомобили</t>
  </si>
  <si>
    <t>Уволенный экс-посол России в Беларуси Бабич может стать куратором боевиков на Донбассе</t>
  </si>
  <si>
    <t>ФИФА открыла дело против швейцарцев, которые на ЧМ-2018 якобы оскорбили сербов</t>
  </si>
  <si>
    <t>В Конгрессе США указали на вину России в гибели представителя миссии ОБСЕ</t>
  </si>
  <si>
    <t>США и Украина отказались работать с российским текстом резолюции о миротворцах</t>
  </si>
  <si>
    <t>На Кипре арестовали активы Таруты по иску российского банка — СМИ</t>
  </si>
  <si>
    <t>Расследователи рассказали об ""украино-российской"" ЧВК в Сирии: появился ответ СБУ</t>
  </si>
  <si>
    <t>Взял слова обратно: Трамп заявил, что оговорился о вмешательстве России в выборы в США</t>
  </si>
  <si>
    <t>Тела пассажиров и членов экипажа малайзийского ""Боинга"" могут быть уже сегодня отправлены в Нидерланды</t>
  </si>
  <si>
    <t>Сеть возмутила шутка российского юмориста о ракетном ударе по США (видео)</t>
  </si>
  <si>
    <t xml:space="preserve">Перед встречами с молдаванами и словаками игроки сборной Украины проведут автограф- и фотосессию для болельщиков </t>
  </si>
  <si>
    <t xml:space="preserve">Сергей Гладырь помог «Монако» выйти в лидеры чемпионата Франции </t>
  </si>
  <si>
    <t>Пыталась продать электростанцию: вскрылись новые детали о задержании российской шпионки в США</t>
  </si>
  <si>
    <t>В Украине оценили реальную численность участников российско-белорусских военных учений ""Запад-2017""</t>
  </si>
  <si>
    <t>Сотни тысяч человек в крупных городах Германии остались без доступа в Интернет из-за атаки российских хакеров</t>
  </si>
  <si>
    <t>Медведев заявил о начале многолетней торговой войны между Россией и США</t>
  </si>
  <si>
    <t>Путин ведет Россию к распаду: РФ приближается к Северной Корее, где люди плачут при виде начальства</t>
  </si>
  <si>
    <t>В МИД РФ заявили, что санкции США не будут сняты сразу, даже если Россия выполнит условия Запада</t>
  </si>
  <si>
    <t>В Италии уже третий регион признал ""российский Крым""</t>
  </si>
  <si>
    <t>В Брюсселе подписано соглашение о возобновлении поставок российского газа в Украину</t>
  </si>
  <si>
    <t>В Кишиневе прошел массовый митинг в поддержку объединения Молдавии и Румынии</t>
  </si>
  <si>
    <t>Российские диверсанты оккупировали Славянск, чтобы получить контроль над одним из самых крупных залежей сланцевого газа в Украине — Юзовским месторождением?</t>
  </si>
  <si>
    <t>Нечем ответить: России предрекли поражение в ""войне санкций"" против США</t>
  </si>
  <si>
    <t xml:space="preserve">В Италии начато расследование по факту гибели 26 девушек из Нигерии </t>
  </si>
  <si>
    <t>Американский пехотинец спас щенка в Афганистане, и теперь подросший Джакс прилетел к нему в Лос-Анджелес (фото, видео)</t>
  </si>
  <si>
    <t>В сети показали место базирования в Сирии сбитого российского самолета ИЛ-20</t>
  </si>
  <si>
    <t>Строительство стены на границе между США и Мексикой обойдется в 21,6 миллиарда долларов</t>
  </si>
  <si>
    <t>В Швейцарии 17-летний парень из Латвии набросился с топором на людей</t>
  </si>
  <si>
    <t>Швеция расценивает как провокацию размещение в Калининграде российских «Искандеров»</t>
  </si>
  <si>
    <t>Сирийские боевики выдвинули ряд требований за передачу тел экипажа российского Ми-8</t>
  </si>
  <si>
    <t>Марко Албан: «В английской королевской семье популярны копченый лосось с йогуртовым соусом и хлебный пудинг»</t>
  </si>
  <si>
    <t>Немецкая полиция завершила следствие по поводу якобы похищенной мигрантами русской девочки Лизы</t>
  </si>
  <si>
    <t>Госсекретарь США Джон Керри: «Нога нашего солдата не ступит на сирийскую землю»</t>
  </si>
  <si>
    <t>В Польше по запросу России задержали легендарного экс-бойца АТО Игоря Мазура</t>
  </si>
  <si>
    <t>Чехия опасается, что пребывание в Европе россиян станет поводом для вторжения в ЕС</t>
  </si>
  <si>
    <t>Швейцарский подрядчик ""Газпрома"" окончательно отказался строить ""Северный поток — 2"" из-за санкций США</t>
  </si>
  <si>
    <t>Российский гостелеканал допускает ядерный удар России по США (видео)</t>
  </si>
  <si>
    <t>Российские хакеры похитили данные у Агентства национальной безопасности США, используя антивирус Касперского</t>
  </si>
  <si>
    <t>ЧМ-2018: немецкие СМИ обвинили сборную России в использовании… аммиака</t>
  </si>
  <si>
    <t>«Проблема – Россия сама по себе»: британский эксперт рассказал, как Украине одолеть Путина</t>
  </si>
  <si>
    <t>В отпуске динамовец Ленс навестит родственников в Суринаме, а Олег Гусев с женой встретят Новый год во Франции</t>
  </si>
  <si>
    <t>В Латвии заявили о приближении к границам страны трех военных кораблей России</t>
  </si>
  <si>
    <t>Американцы еще в 90-х предупреждали Украину о вторжении России, но руководству было не до этого, — генерал</t>
  </si>
  <si>
    <t>В Эстонии скоропостижно скончался всемирно известный британский рок-музыкант (видео)</t>
  </si>
  <si>
    <t xml:space="preserve">«Шахтер» в Турции проиграл сербскому «Партизану»: видео голов  </t>
  </si>
  <si>
    <t>Министр ВВС США Дебора Джеймс: ""Россия  – угроза номер один для Соединенных Штатов""</t>
  </si>
  <si>
    <t>Болгарин Пулев и американец Томпсон разыграют между собой право на бой с Владимиром Кличко</t>
  </si>
  <si>
    <t>В конгрессе США намерены продлить запрет на военное сотрудничество с Россией</t>
  </si>
  <si>
    <t>Из Франции в Англию за 22 минуты: изобретатель-экстремал перелетел Ла-Манш (видео)</t>
  </si>
  <si>
    <t>Украина построит новую трассу в Болгарию через Румынию, — Порошенко</t>
  </si>
  <si>
    <t>Хет-трик Месси в ворота эквадорцев вывел команду Аргентины на чемпионат мира</t>
  </si>
  <si>
    <t>ЧМ-2018: хорватов перед матчем с Россией оштрафовали из-за... напитков</t>
  </si>
  <si>
    <t>Украинец Жан Беленюк, одолев россиянина, стал чемпионом мира по греко-римской борьбе (фото)</t>
  </si>
  <si>
    <t>Неожиданный поворот: Германию уличили в попытке вернуть Россию в ПАСЕ</t>
  </si>
  <si>
    <t>«Это плохое начало отношений»: российские пропагандисты подловили Зеленского в Турции</t>
  </si>
  <si>
    <t>В США раскритиковали Путина: он действительно верит, что Россия без Украины останется восточным государством</t>
  </si>
  <si>
    <t>Немецкая полиция подвела итоги саммита G20: задержаны более 50 человек, шестеро из них — россияне</t>
  </si>
  <si>
    <t>ЕС может заблокировать реализацию ядерного контракта на 12 миллиардов евро между Венгрией и Россией</t>
  </si>
  <si>
    <t>Польша и Словакия «охотятся» на украинских врачей, — Порошенко</t>
  </si>
  <si>
    <t>""Героя парковки"" из России публично наказали в Беларуси: в сети показали фото</t>
  </si>
  <si>
    <t>В украинском Генштабе озвучили новые угрозы от российско-беларусских учений ""Запад-2017""</t>
  </si>
  <si>
    <t>Леонид Кравчук: ""Если бы сегодня США и Европа так активно не поддерживали Украину, российские войска были бы уже в Киеве""</t>
  </si>
  <si>
    <t>Лучшие украинские курсанты-нахимовцы продолжат обучение в военных вузах Великобритании и Франции</t>
  </si>
  <si>
    <t>«Инцидент с консульством Украины в Польше – очередной элемент гибридной войны с Россией» – МИД</t>
  </si>
  <si>
    <t>RUS NLD</t>
  </si>
  <si>
    <t>HUN RUS</t>
  </si>
  <si>
    <t>RUS GBR</t>
  </si>
  <si>
    <t>BEL LSO</t>
  </si>
  <si>
    <t>RUS EST</t>
  </si>
  <si>
    <t>GEO USA</t>
  </si>
  <si>
    <t>KAZ ITA</t>
  </si>
  <si>
    <t>CAN IND</t>
  </si>
  <si>
    <t>ROM AUT</t>
  </si>
  <si>
    <t>URY RUS</t>
  </si>
  <si>
    <t>RUS PSE</t>
  </si>
  <si>
    <t>HUN GEO</t>
  </si>
  <si>
    <t>RUS ARM</t>
  </si>
  <si>
    <t>LIE CHE</t>
  </si>
  <si>
    <t>CYP RUS</t>
  </si>
  <si>
    <t>MYS NLD</t>
  </si>
  <si>
    <t>MDA SVK</t>
  </si>
  <si>
    <t>ITA RUS</t>
  </si>
  <si>
    <t>MDA ROM</t>
  </si>
  <si>
    <t>ITA NGA</t>
  </si>
  <si>
    <t>CHE LVA</t>
  </si>
  <si>
    <t>ALB GBR</t>
  </si>
  <si>
    <t>CZE RUS</t>
  </si>
  <si>
    <t>SUR FRA</t>
  </si>
  <si>
    <t>EST GBR</t>
  </si>
  <si>
    <t>TUR SRB</t>
  </si>
  <si>
    <t>BGR USA</t>
  </si>
  <si>
    <t>BGR ROM</t>
  </si>
  <si>
    <t>ECU ARG</t>
  </si>
  <si>
    <t>HRV RUS</t>
  </si>
  <si>
    <t>POL SVK</t>
  </si>
  <si>
    <t>Martin Schulz a qualifié de cynique la joie manifestée par les dirigeants russes à la suite des résultats du référendum aux Pays-Bas</t>
  </si>
  <si>
    <t>À la veille de la visite de Poutine à Budapest, les Hongrois sont descendus dans la rue pour manifester contre la guerre en Ukraine et le rapprochement de leur pays avec la Russie</t>
  </si>
  <si>
    <t>La Pologne envisage des sanctions contre la Russie en raison de l'affaire Skripal, selon les médias</t>
  </si>
  <si>
    <t>Tir de roquette sur une mosquée turque depuis le territoire syrien : 2 morts, 12 blessés</t>
  </si>
  <si>
    <t>La Russie pourrait devenir un paria isolé, selon le chef des services de contre-espionnage britanniques</t>
  </si>
  <si>
    <t>Le cinquième plus gros diamant du monde, « La Légende du Lesotho », a été vendu en Belgique</t>
  </si>
  <si>
    <t>Moscou a refusé de reconnaître qu'un hélicoptère de combat russe avait été abattu en Syrie (photo, vidéo)</t>
  </si>
  <si>
    <t>Une touriste russe est décédée à Pattaya. Elle a été renversée par une voiture conduite par un Allemand de 72 ans</t>
  </si>
  <si>
    <t>Le cousin de Poutine est impliqué dans le transfert de milliards de roubles russes via une banque estonienne</t>
  </si>
  <si>
    <t>Les États-Unis ont annoncé la mise en place de moyens d'autodéfense pour l'Ukraine et la Géorgie</t>
  </si>
  <si>
    <t>Le président et le Premier ministre géorgiens se sont disputés lors d'une cérémonie à bord d'un navire de guerre américain</t>
  </si>
  <si>
    <t xml:space="preserve">France Football : la Russie a été exclue de la Coupe du monde de football au Qatar </t>
  </si>
  <si>
    <t>Lors de la Coupe du monde de hockey, l'équipe d'Ukraine s'est inclinée face aux équipes du Kazakhstan et de l'Italie</t>
  </si>
  <si>
    <t>Une Canadienne de 18 ans a empêché Svitolina d'accéder à la finale du tournoi d'Indian Wells (vidéo)</t>
  </si>
  <si>
    <t>Le Canada a imposé des sanctions à l'encontre de 11 autres citoyens russes et ukrainiens responsables de la crise ukrainienne</t>
  </si>
  <si>
    <t>IKEA rappelle près de 30 millions de « commodes tueuses » aux États-Unis et au Canada</t>
  </si>
  <si>
    <t>Attentat dans la capitale norvégienne : un Russe de 20 ans a avoué avoir voulu tuer plusieurs personnes</t>
  </si>
  <si>
    <t>German Obukhov : « Tôt ou tard, la Russie reconnaîtra que c'est elle qui a abattu le « Boeing » dans le ciel au-dessus du Donbass »</t>
  </si>
  <si>
    <t>Les frappes précises de Mbokani et Yarmolenko ont permis au « Dynamo » de Kiev de s'imposer face à l'équipe roumaine « Universitatea » en Autriche</t>
  </si>
  <si>
    <t>Coupe du monde 2018 : l'Uruguay a sans ménagement privé l'équipe de Russie de la première place du groupe</t>
  </si>
  <si>
    <t>Des supporters russes sont sortis d'un bus interpellé par la police française près de Cannes</t>
  </si>
  <si>
    <t>Les garde-côtes du FSB russe ont intercepté un vraquier turc à 27 km de la flèche littorale de Berdyansk</t>
  </si>
  <si>
    <t>Des farceurs russes controversés se sont entretenus avec le ministre américain de l'Énergie au nom du Premier ministre Groysman</t>
  </si>
  <si>
    <t>Le ministre polonais de l'Énergie a confirmé l'importation sur le territoire national de charbon provenant des territoires du Donbass occupés par la Russie</t>
  </si>
  <si>
    <t>Le prix réel du gaz proposé par la Russie s'élèvera à 173 dollars – Kobolev</t>
  </si>
  <si>
    <t>Un nouveau scandale d'espionnage a éclaté entre la Russie et les États-Unis : ce que l'on sait à ce sujet</t>
  </si>
  <si>
    <t>La Russie aurait pu préparer un autre « Salisbury » aux États-Unis, selon CNN</t>
  </si>
  <si>
    <t>Moscou a promis de réagir fermement à la décision de la Moldavie de déclarer persona non grata cinq diplomates russes</t>
  </si>
  <si>
    <t>Les autorités russes affirment que, contrairement à l'Europe et aux États-Unis, elles contribuent positivement à la stabilité mondiale</t>
  </si>
  <si>
    <t>La Hongrie revient sur le chemin de la guerre : Orbán menace de bloquer les décisions du sommet Ukraine-Géorgie-OTAN</t>
  </si>
  <si>
    <t>La Russie a confirmé la destruction de son hélicoptère en Syrie et la mort d'un marine</t>
  </si>
  <si>
    <t>Coupe du monde 2018 : l'Espagne a failli perdre et affrontera désormais la Russie (vidéo)</t>
  </si>
  <si>
    <t>« J'avais tort » : Johnson a fait une déclaration sur la « remise à zéro » des relations entre le Royaume-Uni et la Russie</t>
  </si>
  <si>
    <t>« Poutine agit comme Hitler » : le Royaume-Uni a débattu de la future orientation de la Russie</t>
  </si>
  <si>
    <t>Le soldat russe qui a tué une famille arménienne sera jugé en Arménie</t>
  </si>
  <si>
    <t>13 millions de francs suisses appartenant à un juge de la Cour suprême économique d'Ukraine ont été saisis dans une banque du Liechtenstein</t>
  </si>
  <si>
    <t>En Russie, on déteste ses « Lada » encore plus que les voitures chinoises</t>
  </si>
  <si>
    <t>L'ancien ambassadeur russe en Biélorussie, Babitch, récemment limogé, pourrait devenir le commandant des combattants dans le Donbass</t>
  </si>
  <si>
    <t>La FIFA a ouvert une enquête contre des Suisses qui auraient insulté des Serbes lors de la Coupe du monde 2018</t>
  </si>
  <si>
    <t>Le Congrès américain a pointé du doigt la responsabilité de la Russie dans la mort d’un représentant de la mission de l’OSCE</t>
  </si>
  <si>
    <t>Les États-Unis et l’Ukraine ont refusé de travailler sur le texte russe de la résolution concernant les forces de maintien de la paix</t>
  </si>
  <si>
    <t>À Chypre, les avoirs de Taruta ont été saisis à la demande d’une banque russe — médias</t>
  </si>
  <si>
    <t>Les enquêteurs ont évoqué une « compagnie militaire privée ukraino-russe » en Syrie : la SBU a réagi</t>
  </si>
  <si>
    <t>Il est revenu sur ses propos : Trump a déclaré s'être mal exprimé au sujet de l'ingérence de la Russie dans les élections américaines</t>
  </si>
  <si>
    <t>Les corps des passagers et des membres d'équipage du « Boeing » malaisien pourraient être envoyés dès aujourd'hui aux Pays-Bas</t>
  </si>
  <si>
    <t>Une blague d'un humoriste russe sur une frappe de missile contre les États-Unis a provoqué l'indignation sur les réseaux sociaux (vidéo)</t>
  </si>
  <si>
    <t>Avant leurs rencontres avec les Moldaves et les Slovaques, les joueurs de l'équipe nationale ukrainienne organiseront une séance d'autographes et de photos pour les supporters</t>
  </si>
  <si>
    <t>Sergey Gladyr a aidé « Monaco » à prendre la tête du championnat de France</t>
  </si>
  <si>
    <t>Elle a tenté de vendre une centrale électrique : de nouveaux détails ont été révélés sur l'arrestation d'une espionne russe aux États-Unis</t>
  </si>
  <si>
    <t>En Ukraine, on a estimé le nombre réel de participants aux exercices militaires russo-biélorusses « Zapad-2017 »</t>
  </si>
  <si>
    <t>Des centaines de milliers de personnes dans les grandes villes allemandes se sont retrouvées sans accès à Internet à cause d'une cyberattaque menée par des hackers russes</t>
  </si>
  <si>
    <t>Medvedev a annoncé le début d'une guerre commerciale de longue haleine entre la Russie et les États-Unis</t>
  </si>
  <si>
    <t>Poutine mène la Russie à la désintégration : la Fédération de Russie se rapproche de la Corée du Nord, où les gens pleurent à la vue de leurs supérieurs</t>
  </si>
  <si>
    <t>Le ministère russe des Affaires étrangères a déclaré que les sanctions américaines ne seraient pas levées immédiatement, même si la Russie respectait les conditions posées par l'Occident</t>
  </si>
  <si>
    <t>En Italie, une troisième région a reconnu la « Crimée russe »</t>
  </si>
  <si>
    <t>Un accord sur la reprise des livraisons de gaz russe à l'Ukraine a été signé à Bruxelles</t>
  </si>
  <si>
    <t>Un rassemblement massif en faveur de l'union de la Moldavie et de la Roumanie a eu lieu à Chisinau</t>
  </si>
  <si>
    <t>Des saboteurs russes ont-ils occupé Slaviansk pour prendre le contrôle de l'un des plus grands gisements de gaz de schiste d'Ukraine, le gisement de Yuzivka ?</t>
  </si>
  <si>
    <t>Impossible de riposter : on prédit la défaite de la Russie dans la « guerre des sanctions » contre les États-Unis</t>
  </si>
  <si>
    <t>Une enquête a été ouverte en Italie sur la mort de 26 jeunes filles originaires du Nigeria</t>
  </si>
  <si>
    <t>Un soldat américain a sauvé un chiot en Afghanistan, et maintenant que Jax a grandi, il lui a rendu visite à Los Angeles (photos, vidéo)</t>
  </si>
  <si>
    <t>La base en Syrie de l'avion russe IL-20 abattu a été dévoilée sur Internet</t>
  </si>
  <si>
    <t>La construction du mur à la frontière entre les États-Unis et le Mexique coûtera 21,6 milliards de dollars</t>
  </si>
  <si>
    <t>En Suisse, un jeune Letton de 17 ans s'est jeté sur des passants avec une hache</t>
  </si>
  <si>
    <t>La Suède considère comme une provocation le déploiement de missiles russes « Iskander » à Kaliningrad</t>
  </si>
  <si>
    <t>Les combattants syriens ont posé une série de conditions pour la restitution des corps de l'équipage du Mi-8 russe</t>
  </si>
  <si>
    <t>Marco Alban : « Le saumon fumé accompagné d'une sauce au yaourt et le pudding au pain sont très appréciés au sein de la famille royale britannique »</t>
  </si>
  <si>
    <t>La police allemande a clos l'enquête sur la disparition présumée de la petite Lisa, une fillette russe qui aurait été enlevée par des migrants</t>
  </si>
  <si>
    <t>Le secrétaire d'État américain John Kerry : « Aucun de nos soldats ne mettra les pieds sur le sol syrien »</t>
  </si>
  <si>
    <t>En Pologne, le légendaire ancien combattant de l'ATO Igor Mazur a été arrêté à la demande de la Russie</t>
  </si>
  <si>
    <t>La Tchéquie craint que la présence de Russes en Europe ne serve de prétexte à une invasion de l'UE</t>
  </si>
  <si>
    <t>Un sous-traitant suisse de « Gazprom » a définitivement refusé de construire le « Nord Stream 2 » en raison des sanctions américaines</t>
  </si>
  <si>
    <t>Une chaîne de télévision publique russe évoque la possibilité d'une frappe nucléaire russe contre les États-Unis (vidéo)</t>
  </si>
  <si>
    <t>Des hackers russes ont dérobé des données à l'Agence de sécurité nationale américaine en utilisant l'antivirus Kaspersky</t>
  </si>
  <si>
    <t>Coupe du monde 2018 : les médias allemands ont accusé l'équipe russe d'avoir utilisé… de l'ammoniac</t>
  </si>
  <si>
    <t>« Le problème, c'est la Russie elle-même » : un expert britannique explique comment l'Ukraine peut vaincre Poutine</t>
  </si>
  <si>
    <t>En vacances, le joueur du Dynamo Lenz rendra visite à sa famille au Suriname, tandis qu'Oleg Gusev et sa femme fêteront le Nouvel An en France</t>
  </si>
  <si>
    <t>La Lettonie a annoncé l'approche de trois navires de guerre russes à ses frontières</t>
  </si>
  <si>
    <t>Dès les années 90, les Américains avaient prévenu l'Ukraine d'une invasion russe, mais les dirigeants n'y prêtaient pas attention, selon un général</t>
  </si>
  <si>
    <t>Un musicien de rock britannique de renommée mondiale est décédé subitement en Estonie (vidéo)</t>
  </si>
  <si>
    <t xml:space="preserve">Le « Shakhtar » s'est incliné en Turquie face au « Partizan » serbe : vidéo des buts  </t>
  </si>
  <si>
    <t>La ministre de l'Armée de l'air américaine Deborah James : « La Russie  – la menace numéro un pour les États-Unis »</t>
  </si>
  <si>
    <t>Le Bulgare Pulev et l'Américain Thompson s'affronteront pour décrocher le droit d'affronter Vladimir Klitschko</t>
  </si>
  <si>
    <t>Le Congrès américain a l'intention de prolonger l'interdiction de coopération militaire avec la Russie</t>
  </si>
  <si>
    <t>De la France à l'Angleterre en 22 minutes : un inventeur extrême a survolé la Manche (vidéo)</t>
  </si>
  <si>
    <t>L'Ukraine va construire une nouvelle route vers la Bulgarie via la Roumanie, selon Porochenko</t>
  </si>
  <si>
    <t>Le triplé de Messi face à l'Équateur a qualifié l'Argentine pour la Coupe du monde</t>
  </si>
  <si>
    <t>Coupe du monde 2018 : les Croates ont été sanctionnés avant leur match contre la Russie pour... des boissons</t>
  </si>
  <si>
    <t>L'Ukrainien Zhan Beleniuk, après avoir battu le Russe, est devenu champion du monde de lutte gréco-romaine (photo)</t>
  </si>
  <si>
    <t>Rebondissement inattendu : l'Allemagne a été prise en flagrant délit de tentative de réintégrer la Russie au sein de l'APCE</t>
  </si>
  <si>
    <t>« C'est un mauvais début de relations » : les propagandistes russes ont piégé Zelensky en Turquie</t>
  </si>
  <si>
    <t>Aux États-Unis, on a critiqué Poutine : il croit vraiment que la Russie restera un État oriental sans l'Ukraine</t>
  </si>
  <si>
    <t>La police allemande a fait le bilan du sommet du G20 : plus de 50 personnes ont été interpellées, dont six Russes</t>
  </si>
  <si>
    <t>L'UE pourrait bloquer la mise en œuvre d'un contrat nucléaire de 12 milliards d'euros entre la Hongrie et la Russie</t>
  </si>
  <si>
    <t>La Pologne et la Slovaquie « chassent » les médecins ukrainiens, selon Porochenko</t>
  </si>
  <si>
    <t>Le « héros du parking » russe a été puni publiquement en Biélorussie : des photos ont été diffusées sur Internet</t>
  </si>
  <si>
    <t>L'état-major ukrainien a fait état de nouvelles menaces liées aux exercices russo-biélorusses « Zapad-2017 »</t>
  </si>
  <si>
    <t>Leonid Kravtchouk : « Si aujourd’hui les États-Unis et l’Europe ne soutenaient pas aussi activement l’Ukraine, les troupes russes seraient déjà à Kiev »</t>
  </si>
  <si>
    <t>Les meilleurs élèves de l'Académie navale ukrainienne de Nakhimov poursuivront leurs études dans des écoles militaires britanniques et françaises</t>
  </si>
  <si>
    <t>« L'incident au consulat d'Ukraine en Pologne est un nouvel élément de la guerre hybride avec la Russie », déclare le ministère des Affaires étrangères</t>
  </si>
  <si>
    <t>ALB</t>
  </si>
  <si>
    <t>Komunitas Internasional Upayakan Gencatan Senjata Suriah  .  REPUBLIKA.CO.ID, JENEWA -- Amerika Serikat mencoba menghentikan perang di Suriah dengan upaya diplom</t>
  </si>
  <si>
    <t>Kim Jong-un Bicarakan Pertemuan dengan AS  .  REPUBLIKA.CO.ID, PYONGYANG -- Presiden Korea Utara (Korut) Kim Jong-un mengumumkan kemungkinan perte</t>
  </si>
  <si>
    <t>Modi Mendadak Kunjungi Pakistan  .  REPUBLIKA.CO.ID,&amp;nbsp; NEW DELHI -- Perdana Menteri (PM) India Narendra Modi melakukan kunjungan men</t>
  </si>
  <si>
    <t>Iran Belum Konfirmasi Penembakan Drone Miliknya oleh AS  .  REPUBLIKA.CO.ID, WASHINGTON &amp;ndash; Menteri Luar Negeri Iran Mohammad Javad Zarif mengaku belum mend</t>
  </si>
  <si>
    <t>Umrah Sumbang Ekonomi Arab Saudi Senilai 1,6 Miliar Dolar AS  .  REPUBLIKA.CO.ID, RIYADH -&amp;ndash; Kepala Komite Transportasi Kamar Dagang dan Industri di Mekah menga</t>
  </si>
  <si>
    <t>Obama Akan Lanjutkan Serangan ke Suriah  .  REPUBLIKA.CO.ID, WASHINGTON -- Presiden AS Barack Obama berjanji akan melanjutkan serangannya terhad</t>
  </si>
  <si>
    <t>Butuh 48 Jam untuk Pastikan Puing Diduga MH370  .  REPUBLIKA.CO.ID, SINGAPURA -- Pencarian reruntuhan pesawat Malaysia Airlines MH370 di Samdura Hindia</t>
  </si>
  <si>
    <t>AS Bersedia Tampung 10 Ribu Pengungsi Suriah  .  REPUBLIKA.CO.ID, WASHINGTON -- Amerika Serikat akhirnya berkomitmen untuk menerima pengungsi dari da</t>
  </si>
  <si>
    <t>Inggris Minta Wabah Ebola di Kongo Berstatus Darurat  .  REPUBLIKA.CO.ID, LONDON -- Wabah ebola yang menyebar di wilayah Republik Demokratik Kongo (RDK) sema</t>
  </si>
  <si>
    <t>AS Tuding Serangan ke Saudi Berasal dari Barat Daya Iran  .  REPUBLIKA.CO.ID,&amp;nbsp;DUBAI -- Amerika Serikat (AS) percaya serangan yang melumpuhkan fasilitas miny</t>
  </si>
  <si>
    <t>Bantuan AS untuk Palestina Turun Drastis di Masa Trump  .  ...</t>
  </si>
  <si>
    <t>Dua Gol Mitroglou Bawa Yunani Tumbangkan Rumania  .  REPUBLIKA.CO.ID, ATHENA -- Kostas Mitroglou mencetak dua gol pada babak pertama ketika Yunani menang</t>
  </si>
  <si>
    <t xml:space="preserve">Ditekan AS, Inggris Cari Solusi Penggunaan 5G Huawei  .  REPUBLIKA.CO.ID,&amp;nbsp;LONDON -- Perdana Menteri Inggris Boris Johnson akan bertemu beberapa menteri </t>
  </si>
  <si>
    <t>Marciniak Szymon akan Pimpin Laga Argentina Vs Islandia  .  REPUBLIKA.CO.ID, MOSKOW -- FIFA, Sabtu (16/6), menginformasikan pertandingan Argentina melawan Islan</t>
  </si>
  <si>
    <t>Turki Ancam akan Gempur Suriah Jika Lindungi Kurdi  .  REPUBLIKA.CO.ID, ANKARA -- Menteri Luar Negeri Turki Mevlut Cavusoglu memperingatkan Pemerintah Suri</t>
  </si>
  <si>
    <t>Lawan Kroasia, Italia tanpa Buffon dan Verratti  .  REPUBLIKA.CO.ID, ROMA -- Italia akan kehilangan sejumlah pemain intinya saat bersua Kroasia di perta</t>
  </si>
  <si>
    <t xml:space="preserve">Ukraina Gandeng Uni Eropa, Rusia Siapkan Langkah  .  REPUBLIKA.CO.ID, KIEV -- Pemerintahan baru Ukraina mencapai kesepakatan bersejarah dengan Uni Eropa </t>
  </si>
  <si>
    <t>20 Imigran Myanmar yang Singgah di Aceh Hendak ke Malaysia  .  REPUBLIKA.CO.ID,&amp;nbsp;&amp;nbsp;LANGSA&amp;mdash; Sebanyak 20 imigran gelap etnis Rohingya, Myanmar, masuk k</t>
  </si>
  <si>
    <t>Pakistan Desak AS dan Taliban Kembali ke Meja Perundingan  .  REPUBLIKA.CO.ID, ISLAMABAD &amp;ndash; Pemerintah Pakistan mendesak Amerika Serikat (AS) dan Taliban mel</t>
  </si>
  <si>
    <t>Skor Kaca Mata Masih Hiasi Laga Kosta Rika Kontra Belanda  .  REPUBLIKA.CO.ID, SALVADOR -- Belanda masih tertahan imbang tanpa gol melawan Kosta Rika dalam pertan</t>
  </si>
  <si>
    <t>Pesawat Malaysia Airlines Jatuh di Ukraina, 295 Tewas  .  REPUBLIKA.CO.ID,&amp;nbsp; JAKARTA -- Pesawat Malaysia Airlines jatuh di wilayah timur Ukraina, Kamis (1</t>
  </si>
  <si>
    <t>Koalisi Arab Umumkan Lima Hari Gencatan Senjata di Yaman  .  REPUBLIKA.CO.ID, RIYADH &amp;ndash; Koalisi Arab Saudi mengumumkan pelaksanaan gencatan senjata selama l</t>
  </si>
  <si>
    <t>Bangladesh Puji Upaya Turki Atasi Krisis Rohingya  .  REPUBLIKA.CO.ID, ISTANBUL -- Konsulat jenderal Bangladesh di Istanbul memuji hubungan bilateralnya d</t>
  </si>
  <si>
    <t>Erdogan Sebut Turki akan Tingkatkan Bantuan Militer ke Libya  .  REPUBLIKA.CO.ID, ANKARA -- Presiden Turki Recep Tayyib Erdogan mengatakan jika diperlukan Turki akan</t>
  </si>
  <si>
    <t>Santri Daarul Quran Gaza Doakan BJ Habibie  .  REPUBLIKA.CO.ID, JAKARTA -- Presiden ke-3 RI BJ Habibie tengah dirawat di rumah sakit di Jerman kare</t>
  </si>
  <si>
    <t>Myung-Bo Beberkan Kunci Tahan Rusia  .  REPUBLIKA.CO.ID, CUICABA -- Pelatih Timnas Korea Selatan, Hong Myung-Bo, memuji penampilan anak buah</t>
  </si>
  <si>
    <t>Transformasi Elemen Kuliner Islam  .  REPUBLIKA.CO.ID, JAKARTA -- Saat orang Spanyol dan Portugis berlomba dalam bidang pelayaran dan berh</t>
  </si>
  <si>
    <t xml:space="preserve">Pelatih Filipina: Kami Beruntung Imbangi Laos  .  REPUBLIKA.CO.ID, JAKARTA -- Asisten Pelatih Timnas Laos U-19, Phoutpasong Sengdalavong berpendapat, </t>
  </si>
  <si>
    <t>Jangan Pulangkan Muslim Uighur ke Cina  .  REPUBLIKA.CO.ID, WASHINGTON -- Menteri Luar Negeri Amerika Serikat (AS) Mike Pompeo meminta negara-n</t>
  </si>
  <si>
    <t>Milan, Napoli dan Siena Menuju Delapan Besar Coppa Italia  .  REPUBLIKA.CO.ID, MILAN -- Gelandang internasional Jepang Keisuke Honda mencetak gol perdananya untuk</t>
  </si>
  <si>
    <t>OKI Nilai Rencana Netanyanu Agresi Hak Rakyat Palestina  .  REPUBLIKA.CO.ID, RIYADH -- Organisasi Kerja Sama Islam (OKI) mengutuk rencana Perdana Menteri Israel</t>
  </si>
  <si>
    <t>Yuan Cina Menguat Jadi 6,39 per Dolar AS  .  REPUBLIKA.CO.ID, BEIJING -- Tingkat paritas tengah nilai tukar mata uang Cina renminbi atau yuan, me</t>
  </si>
  <si>
    <t>Uruguay Difavoritkan Ketimbang Yordania  .  REPUBLIKA.CO.ID, ZURICH -- Kejutan demi kejutan mewarnai hasil kualifikasi menuju Piala Dunia 2014 d</t>
  </si>
  <si>
    <t>Cina Diduga Tahan Wanita Muslim karena Nikahi Pria Pakistan  .  REPUBLIKA.CO.ID, ISLAMABAD -- Cina diduga menahan puluhan perempuan Muslim di Provinsi Xinjiang. Wan</t>
  </si>
  <si>
    <t>Korea Utara Diduga akan Lakukan Uji Coba Rudal Lagi  .  REPUBLIKA.CO.ID, JAKARTA -- Para pejabat Korea Selatan tidak bersedia berkomentar atas laporan Jepan</t>
  </si>
  <si>
    <t xml:space="preserve">Kompeni Waspadai Ulama Betawi  .  REPUBLIKA.CO.ID, Oleh: Alwi ShahabGubernur Letnan Hindia Belanda asal Inggris, Sir Thomas Stamford </t>
  </si>
  <si>
    <t>In Picture: Inggris Taklukkan Kosovo dengan Skor 5-3  .  REPUBLIKA.CO.ID, SOUTHAMPTON -- Langkah Inggris menuju putaran final Euro 2020 berlanjut setelah men</t>
  </si>
  <si>
    <t>Menanti Kiprah Pemain Debutan Belanda Jelang Laga Kontra Spanyol  .  REPUBLIKA.CO.ID, SALVADOR -- Jika Skuat Spanyol hanya memasukkan 30 persen pemain debutan dalam skua</t>
  </si>
  <si>
    <t>Mantan Kapten Inggris Nilai Jerman Pantas Jadi Juara  .  REPUBLIKA.CO.ID, LONDON -- Keberhasilan Jerman menjuarai Piala Dunia 2014 mendapat apresiasi dari se</t>
  </si>
  <si>
    <t>Taiwan Tolak Tawaran 'Satu Negara, Dua Sistem' dari China  .  REPUBLIKA.CO.ID, TAIPEI -- Presiden Taiwan Tsa Ing-wen mengumumkan menolak formula "satu negara, dua</t>
  </si>
  <si>
    <t>Baku Tembak, Warga Selamatkan Diri dari Perbatasan India-Pakistan  .  REPUBLIKA.CO.ID, SRINAGAR -- Saat tentara India dan Pakistan terus terlibat baku-tembak di Perbatasa</t>
  </si>
  <si>
    <t xml:space="preserve">Warga Suriah Ditahan di Karibia karena Paspor Palsu  .  REPUBLIKA.CO.ID, ST MAARTEN -- Otoritas setempat mengatakan tiga warga Suriah yang bepergian dengan </t>
  </si>
  <si>
    <t>Serpihan di Mozambik Diduga Cocok dengan Badan Pesawat MH370  .  REPUBLIKA.CO.ID, CANBERRA -- Penyidik hilangnya pesawat Malaysia Airlines MH370 mengemukakan fakta t</t>
  </si>
  <si>
    <t>Sutradara Australia Ditahan Terkait Oposisi Kamboja  .  REPUBLIKA.CO.ID, PHNOM PENH -- Produser film dokumenter asal Australia, James Ricketson diinterogasi</t>
  </si>
  <si>
    <t>Obama Perintahkan Investigasi Peretas Rusia  .  REPUBLIKA.CO.ID, WASHINGTON -- Presiden Barack Obama memerintahkan intelijen AS untuk melakukan inve</t>
  </si>
  <si>
    <t xml:space="preserve">Obama Tiba di Malaysia untuk Kunjungan Tiga Hari  .  REPUBLIKA.CO.ID, KUALA LUMPUR -- Presiden Amerika Serikat, Barack Obama, tiba di Kuala Lumpur Sabtu </t>
  </si>
  <si>
    <t>Israel Gempur Gaza, 20 Warga Palestina Tewas  .  REPUBLIKA.CO.ID,GAZA -- Sedikitnya 20 orang di seluruh Gaza tewas akibat serangan bom yang terus dil</t>
  </si>
  <si>
    <t xml:space="preserve">Korut Peringatkan Cina tak Bertindak Ceroboh  .  REPUBLIKA.CO.ID, PYONGYANG -- Pemerintah Korea Utara (Korut) mengkritik Cina terkait dengan program </t>
  </si>
  <si>
    <t xml:space="preserve">Militer Thailand Deteksi Radar MH370, Tapi....  .  REPUBLIKA.CO.ID, KUALA LUMPUR -- Investigator masih berupaya mencari pesawat Malaysia Airlines yang </t>
  </si>
  <si>
    <t>Afrika Evaluasi Kegagalan di Piala Dunia 2018 Rusia  .  REPUBLIKA.CO.ID, RABAT -- Sepak bola Afrika akan berdiskusi dalam simposium dua hari di Maroko setel</t>
  </si>
  <si>
    <t>Iran: Nuklir Israel Ancaman Dunia  .  REPUBLIKA.CO.ID, TEHERAN -- Duta besar Iran untuk badan pengawas nuklir PBB pada Kamis (7/6) mengata</t>
  </si>
  <si>
    <t>Wanita Ini Menunggu Seabad Lamanya Untuk Pergi ke Pantai  .  REPUBLIKA.CO.ID,WASHINGTON DC--Ruby Holt, wanita asal Amerika akhirnya berkesempatan menikmati keind</t>
  </si>
  <si>
    <t>TMC Tutup Kantor Media Aljazirah di Khartoum  .  REPUBLIKA.CO.ID, KHARTOUM &amp;mdash; Dewan Transisi Militer Sudan (TMC) menutup kantor media asal Qatar</t>
  </si>
  <si>
    <t>Presiden Iran: AS Selalu Minta Kami Berunding  .  REPUBLIKA.CO.ID, JENEWA -- Presiden Iran Hassan Rouhani mengungkapkan adanya bujukan terus menerus y</t>
  </si>
  <si>
    <t>Tim Kampanye Donald Trump Digoyang Isu Dana dari Rusia  .  REPUBLIKA.CO.ID, WASHINGTON -- Tim kampanye calon presiden Amerika Serikat dari Partai Republik, Don</t>
  </si>
  <si>
    <t xml:space="preserve">Kurang dari 48 Jam, Agresi Israel Tewaskan 110 Warga Palestina  .  REPUBLIKA.CO.ID, BETHLEHEM -- Sebanyak 110 warga Palestina tewas dalam serangan darat Israel, Sabtu </t>
  </si>
  <si>
    <t>Emir Qatar Tawarkan Dukungan kepada Presiden Sudan  .  REPUBLIKA.CO.ID, KHARTOUM -- Emir Qatar Sheikh Tamim bin Hamad Al Thani menelepon Presiden Sudan Oma</t>
  </si>
  <si>
    <t>Korut Sebut PM Jepang 'Hitler Asia'  .  REPUBLIKA.CO.ID,&amp;nbsp; SEOUL -- Korea Utara pada Selasa mengecam Jepang dan menyebut Perdana Menteri</t>
  </si>
  <si>
    <t>AS-Singapura Lakukan Latihan Militer AL, Ada Apa Ya?  .  REPUBLIKA.CO.ID, SINGAPURA---Singapura dan Amerika Serikat sedang melakukan pelatihan maritim tahuna</t>
  </si>
  <si>
    <t>China Minta Senator AS Buktikan Tuduhan Sabotase  .  REPUBLIKA.CO.ID, BEIJING -- China mengatakan Senator Amerika Serikat (AS) dari Partai Republik, Rick</t>
  </si>
  <si>
    <t>Israel Serang Tempat Peluncuran Roket di Gaza  .  REPUBLIKA.CO.ID, JERUSALEM -- Angkatan udara Israel menargetkan tempat-tempat peluncuran roket di Ga</t>
  </si>
  <si>
    <t>Meksiko Terus Desak AS Sebut Penembakan El Paso Aksi Teroris  .  REPUBLIKA.CO.ID, MEXICO CITY -- Pemerintah Meksiko meningkatkan tekanan mereka kepada Amerika Serika</t>
  </si>
  <si>
    <t>Serangan Udara Balasan Israel Hantam Gaza  .  REPUBLIKA.CO.ID, YERUSALEM --&amp;nbsp; Israel melancarkan serangan udara di Jalur Gaza untuk menanggapi</t>
  </si>
  <si>
    <t xml:space="preserve">Ssttt, Ini Surat Rahasia Obama untuk Pemimpin Iran  .  REPUBLIKA.CO.ID, WASHINGTON-- Presiden Amerika Serikat Barack Obama mengatakan, telah menulis surat </t>
  </si>
  <si>
    <t>Sampai di Maladewa, Striker Jayapura Ini Dikabarkan Sakit  .  REPUBLIKA.CO.ID, JAYAPURA -- Striker Persipura Jayapura asal Pantai Gading Lancine Sanogo Kone dikab</t>
  </si>
  <si>
    <t>Ratusan Warga AS Gelar Aksi Solidaritas untuk Palestina  .  REPUBLIKA.CO.ID, NEW YORK -- Lebih dari 800 warga Amerika Serikat (AS) berkumpul di New York Times S</t>
  </si>
  <si>
    <t>Arab Saudi dan Rusia Makin Akur Soal Minyak Dunia  .  REPUBLIKA.CO.ID, JAKARTA -- Arab Saudi dan Rusia sepakat untuk bekerja sama lebih lanjut pada penyes</t>
  </si>
  <si>
    <t xml:space="preserve">Pekerja Vietnam-Thailand Paling Siap Produksi Mobil Listrik  .  REPUBLIKA.CO.ID, BANDUNG -- Kamar Dagang dan Industri (Kadin) Jawa Barat (Jabar) menyatakan pekerja </t>
  </si>
  <si>
    <t>Pemerintah Spanyol Usir Dubes Korut  .  REPUBLIKA.CO.ID, MADRID -- Spanyol memerintahkan Duta Besar Korea Utara (Korut) untuk meninggalkan n</t>
  </si>
  <si>
    <t xml:space="preserve">Studi 100 Tahun Ungkap Pria dan Wanita Tertinggi Dunia  .  REPUBLIKA.CO.ID, LONDON -- Pria Belanda dan wanita Latvia merupakan makhluk paling tinggi di planet </t>
  </si>
  <si>
    <t>Kongres AS Ternyata Ingin Tunda Pengiriman Senjata ke Suriah  .  REPUBLIKA.CO.ID, WASHINGTON -- Meski pemerintah tak mengumumkan rencana langsung pengiriman senjata,</t>
  </si>
  <si>
    <t>Rusia Ambil Bagian dalam Pembicaraan Suriah-Kurdi  .  REPUBLIKA.CO.ID, SURIAH UTARA -- Pemerintah Suriah dan Pasukan Demokratik Suriah (SDF) melakukan neg</t>
  </si>
  <si>
    <t>Kunjungan Delegasi Bahrain ke Israel Tuai Kritik  .  REPUBLIKA.CO.ID,AL-MANAMAH -- Delegasi Bahrain yang beranggotakan 25 orang melakukan kunjungan ke Ye</t>
  </si>
  <si>
    <t>Freeport dan Perdamaian Palestina Bagian Pembicaraan Menlu RI di AS  .  REPUBLIKA.CO.ID, Menlu RI Retno Lestari Marsudi sedang berada di Amerika Serikat untuk bertemu sejum</t>
  </si>
  <si>
    <t>Skandal Trump-Ukraina, Utusan AS untuk Ukraina Mundur  .  REPUBLIKA.CO.ID, WASHINGTON -- Utusan Khusus Amerika Serikat (AS) untuk Ukraina Kurt Volker mengundu</t>
  </si>
  <si>
    <t>Israel Kembali Lancarkan Serangan Udara  .  REPUBLIKA.CO.ID, GAZA CITY -- Israel telah kembali melakukan serangan udara di Jalur Gaza enam jam s</t>
  </si>
  <si>
    <t>AS Kirim Anggota Parlemen dalam Pembicaraan Damai di Mesir  .  REPUBLIKA.CO.ID, KAIRO -- Amerika Serikat (AS) mengirim utusan untuk terlibat dalam pembicaraan dama</t>
  </si>
  <si>
    <t>'Cooling Break' Bantu Kemenangan Belanda  .  REPUBLIKA.CO.ID, FORTALEZA -- Pertandingan babak pertama antara Belanda kontra Meksiko berakhir tanp</t>
  </si>
  <si>
    <t>La Liga Rencanakan Gelar Pertandingan di AS  .  REPUBLIKA.CO.ID, MADRID -- Badan organisasi Liga Spanyol mengumumkan rencana memainkan pertandingan-</t>
  </si>
  <si>
    <t>Rusia Mulai Karantina Warga yang Kembali dari Wuhan  .  REPUBLIKA.CO.ID, MOSKOW -- Rusia memulai karantina warganya yang baru kembali dari Wuhan, China. Mer</t>
  </si>
  <si>
    <t>Sumber: Serangan Rusia Tewaskan 50 Warga Sipil Suriah  .  REPUBLIKA.CO.ID, DAMASKUS -- Sebanyak 50 warga sipil terbunuh dan 200 lainnya terluka dalam serangan</t>
  </si>
  <si>
    <t>AS Roma Resmi Gaet Adem Ljajic  .  REPUBLIKA.CO.ID, ROMA -- AS Roma mendatangkan penyerang Serbia Adem Ljajic dari sesama tim Serie A F</t>
  </si>
  <si>
    <t>Donald Trump tak Peduli Jika Iran Setuju Berunding  .  REPUBLIKA.CO.ID, WASHINGTON -- Presiden Amerika Serikat Donald Trump mengaku dirinya tak peduli jika</t>
  </si>
  <si>
    <t>Fabregas Absen Saat Spanyol Hadapi Ekuador Karena Cedera  .  REPUBLIKA.CO.ID, MADRID -- Gelandang Spanyol Cesc Fabregas dicoret dari tim yang bertandang ke Ekuad</t>
  </si>
  <si>
    <t>Separuh Warga AS Yakin Negaranya akan Perang Lawan Iran  .  REPUBLIKA.CO.ID, WASHINGTON -- Separuh dari seluruh warga Amerika Serikat (AS) meyakini negaranya ak</t>
  </si>
  <si>
    <t xml:space="preserve">Del Bosque: Kroasia Lawan Tersulit di Grup D  .  REPUBLIKA.CO.ID, MADRID -- Tim nasional Spanyol mengaku, Kroasia bakal menjadi lawan tersulit dalam </t>
  </si>
  <si>
    <t>Taiwan military drills in face of China tension  .  REPUBLIKA.CO.ID, KAOHSIUNG -- Taiwan carried out military drills Wednesday with naval chiefs assurin</t>
  </si>
  <si>
    <t>Eric Abidal Kembali ke Timnas  .  REPUBLIKA.CO.ID, PARIS -- Pemain anyar AS Monaco Eric Abidal kembali dipanggil ke tim nasional Pranc</t>
  </si>
  <si>
    <t xml:space="preserve">Tanker Jepang yang Diledakkan Berlabuh di Lepas Pantai UEA  .  REPUBLIKA.CO.ID, DUBAI -- Salah satu dari dua tanker minyak yang diledakkan dalam serangan-serangan </t>
  </si>
  <si>
    <t>Turki Minta Warganya Tinggalkan Irak  .  REPUBLIKA.CO.ID, ANKARA -- Turki menyerukan warga negaranya untuk meninggalkan semua wilayah Irak, k</t>
  </si>
  <si>
    <t>AS akan Potong Hasil Minyak Maduro dan Mengalihkan ke Guaido  .  REPUBLIKA.CO.ID, CARACAS &amp;ndash;- Amerika Serikat akan memastikan pendapatan minyak Venezuela akan d</t>
  </si>
  <si>
    <t xml:space="preserve">Pemain Rusuh, Pertandingan Kualifikasi Piala Eropa Ditunda  .  REPUBLIKA.CO.ID, BOGRAD &amp;nbsp;-- &amp;nbsp;Babak kualifikasi Piala Eropa 2016 antara Serbia dan Albania </t>
  </si>
  <si>
    <t xml:space="preserve">Penalti De Rossi Selamatkan Italia dari Kekalahan  .  REPUBLIKA.CO.ID, TURIN -- Italia berbagi angka dengan Spanyol setelah bermain imbang 1-1 dalam laga </t>
  </si>
  <si>
    <t xml:space="preserve">Inggris Minta Warganya Tinggalkan China  .  REPUBLIKA.CO.ID,LONDON -- Pemerintah Inggris memerintahkan warganya untuk segera meninggalkan China </t>
  </si>
  <si>
    <t>Ancam Menhan AS, Polisi Singapura Tewaskan Satu Orang  .  REPUBLIKA.CO.ID, SINGAPURA -- Polisi Singapura menembak dan menewaskan satu orang juga menahan dua o</t>
  </si>
  <si>
    <t>Saksi: Pembantaian Etnis dan Pemerkosaan Terjadi di Sudan Selatan  .  REPUBLIKA.CO.ID, JUBA -- Konflik dan kekerasan di Sudan kian memburuk. Tentara Sudah Selatan, menuru</t>
  </si>
  <si>
    <t>PP Muhammadiyah Kecam Serangan AS dan Sekutunya di Suriah  .  REPUBLIKA.CO.ID, JAKARTA -- Di Suriah puluhan rakyat yang tidak berdosa meninggal dunia, termasuk pe</t>
  </si>
  <si>
    <t>China: Tarif AS Harus Dihapus untuk Kesepakatan Perdagangan  .  REPUBLIKA.CO.ID, BEIJING -- Kementerian perdagangan China pada Kamis (4/7) mengatakan tarif yang dib</t>
  </si>
  <si>
    <t>Bantuan Arab Saudi Kurangi Defisit Badan Pengungsi Palestina  .  REPUBLIKA.CO.ID, RIYADH -- Komisaris Jenderal Badan PBB untuk Pengungsi Palestina (UNRWA) Pierre Kra</t>
  </si>
  <si>
    <t>Pique: Sepak Bola Ajarkan Kedisiplinan  .  REPUBLIKA.CO.ID, BRAZIL -- Pemain belakang Tim Nasional (Timnas) Spanyol, Gerard Pique mangaku bahwa</t>
  </si>
  <si>
    <t>SGP MYS</t>
  </si>
  <si>
    <t>GBR COD</t>
  </si>
  <si>
    <t>GRC ROM</t>
  </si>
  <si>
    <t>ARG ISL</t>
  </si>
  <si>
    <t>MMR MYS</t>
  </si>
  <si>
    <t>BGD TUR</t>
  </si>
  <si>
    <t>PSE DEU</t>
  </si>
  <si>
    <t>RUS KOR</t>
  </si>
  <si>
    <t>PHL LAO</t>
  </si>
  <si>
    <t>URY JOR</t>
  </si>
  <si>
    <t>NLD GBR</t>
  </si>
  <si>
    <t>GBR KOS</t>
  </si>
  <si>
    <t>NLD ESP</t>
  </si>
  <si>
    <t>GBR DEU</t>
  </si>
  <si>
    <t>SYR SXM</t>
  </si>
  <si>
    <t>MOZ MYS</t>
  </si>
  <si>
    <t>AUS KHM</t>
  </si>
  <si>
    <t>MYS USA</t>
  </si>
  <si>
    <t>THA MYS</t>
  </si>
  <si>
    <t>RUS MAR</t>
  </si>
  <si>
    <t>TGO USA</t>
  </si>
  <si>
    <t>SDN QAT</t>
  </si>
  <si>
    <t>QAT SDN</t>
  </si>
  <si>
    <t>JPN PRK</t>
  </si>
  <si>
    <t>USA SGP</t>
  </si>
  <si>
    <t>MDV CIV</t>
  </si>
  <si>
    <t>VNM THA</t>
  </si>
  <si>
    <t>ESP PRK</t>
  </si>
  <si>
    <t>NLD LVA</t>
  </si>
  <si>
    <t>BHR ISR</t>
  </si>
  <si>
    <t>USA EGY</t>
  </si>
  <si>
    <t>NLD MEX</t>
  </si>
  <si>
    <t>USA SRB</t>
  </si>
  <si>
    <t>HRV ESP</t>
  </si>
  <si>
    <t>JPN ARE</t>
  </si>
  <si>
    <t>SRB ALB</t>
  </si>
  <si>
    <t>SSD SDN</t>
  </si>
  <si>
    <t>SAU PSE</t>
  </si>
  <si>
    <t>La communauté internationale s'efforce d'obtenir un cessez-le-feu en Syrie  .  REPUBLIKA.CO.ID, GENÈVE -- Les États-Unis tentent de mettre fin à la guerre en Syrie par des efforts diplomatiques</t>
  </si>
  <si>
    <t>Kim Jong-un évoque une rencontre avec les États-Unis  .  REPUBLIKA.CO.ID, PYONGYANG -- Le président nord-coréen Kim Jong-un a annoncé la possibilité d'une rencontre</t>
  </si>
  <si>
    <t>Modi effectue une visite surprise au Pakistan  .  REPUBLIKA.CO.ID,&amp;nbsp; NEW DELHI -- Le Premier ministre indien Narendra Modi a effectué une visite</t>
  </si>
  <si>
    <t>L'Iran n'a pas encore confirmé le tir sur son drone par les États-Unis  .  REPUBLIKA.CO.ID, WASHINGTON &amp;ndash; Le ministre des Affaires étrangères iranien Mohammad Javad Zarif a déclaré ne pas avoir</t>
  </si>
  <si>
    <t>L'Umrah rapporte 1,6 milliard de dollars à l'économie saoudienne  .  REPUBLIKA.CO.ID, RIYAD – Le président du Comité des transports de la Chambre de commerce et d'industrie de La Mecque a déclaré</t>
  </si>
  <si>
    <t>Obama va poursuivre les frappes en Syrie  .  REPUBLIKA.CO.ID, WASHINGTON -- Le président américain Barack Obama a promis de poursuivre ses frappes contre</t>
  </si>
  <si>
    <t>Il faudra 48 heures pour confirmer que les débris sont bien ceux du MH370  .  REPUBLIKA.CO.ID, SINGAPOUR -- Les recherches des débris de l'avion de Malaysia Airlines MH370 dans l'océan Indien</t>
  </si>
  <si>
    <t>Les États-Unis prêts à accueillir 10 000 réfugiés syriens  .  REPUBLIKA.CO.ID, WASHINGTON -- Les États-Unis se sont finalement engagés à accueillir des réfugiés en provenance de la</t>
  </si>
  <si>
    <t>Le Royaume-Uni demande que l'épidémie d'Ebola au Congo soit déclarée urgence sanitaire  .  REPUBLIKA.CO.ID, LONDRES -- L'épidémie d'Ebola qui se propage en République démocratique du Congo (RDC)</t>
  </si>
  <si>
    <t>Les États-Unis attribuent l'attaque contre l'Arabie saoudite au sud-ouest de l'Iran  .  REPUBLIKA.CO.ID,&amp;nbsp;DUBAÏ -- Les États-Unis (US) estiment que l'attaque qui a paralysé les installations pétrolières</t>
  </si>
  <si>
    <t>L'aide américaine à la Palestine a chuté de manière drastique sous Trump  .  ...</t>
  </si>
  <si>
    <t>Deux buts de Mitroglou permettent à la Grèce de battre la Roumanie  .  REPUBLIKA.CO.ID, ATHÈNES -- Kostas Mitroglou a marqué deux buts en première mi-temps lors de la victoire de la Grèce</t>
  </si>
  <si>
    <t xml:space="preserve">Sous la pression des États-Unis, le Royaume-Uni cherche une solution pour l'utilisation de la 5G de Huawei  .  REPUBLIKA.CO.ID,&amp;nbsp;LONDRES -- Le Premier ministre britannique Boris Johnson va rencontrer plusieurs ministres </t>
  </si>
  <si>
    <t>Marciniak Szymon arbitrera le match Argentine-Islande  .  REPUBLIKA.CO.ID, MOSCOU -- La FIFA a annoncé samedi (16/6) que le match Argentine-Islande</t>
  </si>
  <si>
    <t>La Turquie menace de bombarder la Syrie si elle protège les Kurdes  .  REPUBLIKA.CO.ID, ANKARA -- Le ministre turc des Affaires étrangères, Mevlut Cavusoglu, a mis en garde le gouvernement syrien</t>
  </si>
  <si>
    <t>Contre la Croatie, l'Italie sera privée de Buffon et Verratti  .  REPUBLIKA.CO.ID, ROME -- L'Italie sera privée de plusieurs de ses joueurs clés lors de son match contre la Croatie en</t>
  </si>
  <si>
    <t xml:space="preserve">L'Ukraine s'associe à l'Union européenne, la Russie prépare des mesures  .  REPUBLIKA.CO.ID, KIEV -- Le nouveau gouvernement ukrainien a conclu un accord historique avec l'Union européenne </t>
  </si>
  <si>
    <t>20 migrants birmans de passage à Aceh voulaient se rendre en Malaisie  .  REPUBLIKA.CO.ID,&amp;nbsp;&amp;nbsp;LANGSA&amp;mdash; Vingt immigrants clandestins de l'ethnie rohingya, originaires du Myanmar, sont entrés au</t>
  </si>
  <si>
    <t>Pakistan exhorte les États-Unis et les talibans à revenir à la table des négociations  .  REPUBLIKA.CO.ID, ISLAMABAD &amp;ndash; Le gouvernement pakistanais exhorte les États-Unis et les talibans à</t>
  </si>
  <si>
    <t>Un score nul continue d’orner le match entre le Costa Rica et les Pays-Bas  .  REPUBLIKA.CO.ID, SALVADOR -- Les Pays-Bas sont toujours bloqués sur un match nul et vierge contre le Costa Rica lors de la rencontre</t>
  </si>
  <si>
    <t>Un avion de Malaysia Airlines s'écrase en Ukraine, faisant 295 morts  .  REPUBLIKA.CO.ID,&amp;nbsp; JAKARTA -- Un avion de Malaysia Airlines s'est écrasé dans l'est de l'Ukraine, jeudi (1</t>
  </si>
  <si>
    <t>La coalition arabe annonce un cessez-le-feu de cinq jours au Yémen  .  REPUBLIKA.CO.ID, RIYAD – La coalition saoudienne a annoncé la mise en place d’un cessez-le-feu de</t>
  </si>
  <si>
    <t>Le Bangladesh salue les efforts de la Turquie pour résoudre la crise des Rohingyas  .  REPUBLIKA.CO.ID, ISTANBUL -- Le consulat général du Bangladesh à Istanbul a salué ses relations bilatérales avec</t>
  </si>
  <si>
    <t>Erdogan annonce que la Turquie va renforcer son aide militaire à la Libye  .  REPUBLIKA.CO.ID, ANKARA -- Le président turc Recep Tayyib Erdogan a déclaré que si nécessaire, la Turquie</t>
  </si>
  <si>
    <t>Les étudiants de l'école coranique Daarul Quran de Gaza prient pour BJ Habibie  .  REPUBLIKA.CO.ID, JAKARTA -- Le troisième président de la République d'Indonésie, BJ Habibie, est actuellement hospitalisé en Allemagne car</t>
  </si>
  <si>
    <t>Myung-Bo dévoile la clé pour tenir tête à la Russie  .  REPUBLIKA.CO.ID, CUICABA -- L'entraîneur de l'équipe nationale sud-coréenne, Hong Myung-Bo, a salué la performance de ses joueurs</t>
  </si>
  <si>
    <t>La transformation des éléments culinaires islamiques  .  REPUBLIKA.CO.ID, JAKARTA -- Alors que les Espagnols et les Portugais se livraient à une course à la découverte des mers et se livraient à la</t>
  </si>
  <si>
    <t xml:space="preserve">L'entraîneur des Philippines : « Nous avons eu de la chance de faire match nul contre le Laos »  .  REPUBLIKA.CO.ID, JAKARTA -- L'entraîneur adjoint de l'équipe nationale du Laos U-19, Phoutpasong Sengdalavong, estime que, </t>
  </si>
  <si>
    <t>Ne renvoyez pas les musulmans ouïghours en Chine  .  REPUBLIKA.CO.ID, WASHINGTON -- Le ministre des Affaires étrangères des États-Unis (US), Mike Pompeo, a demandé aux pays de l</t>
  </si>
  <si>
    <t>Milan, Naples et Sienne en quarts de finale de la Coppa Italia  .  REPUBLIKA.CO.ID, MILAN -- Le milieu de terrain international japonais Keisuke Honda a inscrit son premier but pour</t>
  </si>
  <si>
    <t>L'OCI juge le plan de Netanyahou comme une agression contre les droits du peuple palestinien  .  REPUBLIKA.CO.ID, RIYAD -- L'Organisation de la coopération islamique (OCI) a condamné le plan du Premier ministre israélien</t>
  </si>
  <si>
    <t>Le yuan chinois s'est raffermi à 6,39 pour un dollar américain  .  REPUBLIKA.CO.ID, PÉKIN -- Le taux de parité du renminbi, la monnaie chinoise, s'est</t>
  </si>
  <si>
    <t>L'Uruguay favori face à la Jordanie  .  REPUBLIKA.CO.ID, ZURICH -- Les surprises se succèdent dans les résultats des qualifications pour la Coupe du monde 2014</t>
  </si>
  <si>
    <t>La Chine aurait détenu des femmes musulmanes pour avoir épousé des Pakistanais  .  REPUBLIKA.CO.ID, ISLAMABAD -- La Chine aurait détenu des dizaines de femmes musulmanes dans la province du Xinjiang. Wan</t>
  </si>
  <si>
    <t>La Corée du Nord s'apprêterait à procéder à un nouvel essai de missile  .  REPUBLIKA.CO.ID, JAKARTA -- Les responsables sud-coréens n'ont pas souhaité commenter les informations japonaises</t>
  </si>
  <si>
    <t xml:space="preserve">La Compagnie néerlandaise se méfie des oulémas betawi  .  REPUBLIKA.CO.ID, Par : Alwi ShahabLe gouverneur-lieutenant des Indes néerlandaises d'origine britannique, Sir Thomas Stamford </t>
  </si>
  <si>
    <t>En image : l'Angleterre s'impose 5-3 face au Kosovo  .  REPUBLIKA.CO.ID, SOUTHAMPTON -- L'Angleterre poursuit son chemin vers la phase finale de l'Euro 2020 après avoir</t>
  </si>
  <si>
    <t>Dans l'attente des performances des nouveaux venus néerlandais avant le match contre l'Espagne  .  REPUBLIKA.CO.ID, SALVADOR -- Alors que l'équipe d'Espagne n'a aligné que 30 % de nouveaux venus dans son effectif</t>
  </si>
  <si>
    <t>L'ancien capitaine anglais estime que l'Allemagne mérite son titre de championne  .  REPUBLIKA.CO.ID, LONDRES -- La victoire de l'Allemagne à la Coupe du monde 2014 a été saluée par</t>
  </si>
  <si>
    <t>Taïwan rejette l'offre « un pays, deux systèmes » de la Chine  .  REPUBLIKA.CO.ID, TAIPEI -- La présidente taïwanaise Tsai Ing-wen a annoncé qu'elle rejetait la formule « un pays, deux</t>
  </si>
  <si>
    <t>Échange de tirs, des civils se sauvent de la frontière indo-pakistanaise  .  REPUBLIKA.CO.ID, SRINAGAR -- Alors que les armées indienne et pakistanaise continuent de s’affronter à la frontière</t>
  </si>
  <si>
    <t xml:space="preserve">Un Syrien arrêté dans les Caraïbes pour faux passeport  .  REPUBLIKA.CO.ID, ST MAARTEN -- Les autorités locales ont déclaré que trois ressortissants syriens voyageant avec </t>
  </si>
  <si>
    <t>Des débris au Mozambique correspondraient à la carcasse de l'avion MH370  .  REPUBLIKA.CO.ID, CANBERRA -- Les enquêteurs chargés de l'affaire de la disparition du vol MH370 de Malaysia Airlines ont révélé des faits</t>
  </si>
  <si>
    <t>Un réalisateur australien arrêté en lien avec l'opposition cambodgienne  .  REPUBLIKA.CO.ID, PHNOM PENH -- Le réalisateur de documentaires australien James Ricketson a été interrogé</t>
  </si>
  <si>
    <t>Obama ordonne une enquête sur les pirates informatiques russes  .  REPUBLIKA.CO.ID, WASHINGTON -- Le président Barack Obama a ordonné aux services de renseignement américains de mener une enquête</t>
  </si>
  <si>
    <t xml:space="preserve">Obama arrive en Malaisie pour une visite de trois jours  .  REPUBLIKA.CO.ID, KUALA LUMPUR -- Le président des États-Unis, Barack Obama, est arrivé à Kuala Lumpur samedi </t>
  </si>
  <si>
    <t>Israël bombarde Gaza, 20 Palestiniens tués  .  REPUBLIKA.CO.ID, GAZA -- Au moins 20 personnes ont été tuées dans toute la bande de Gaza à la suite d'attaques à la bombe qui se poursuivent</t>
  </si>
  <si>
    <t>La Corée du Nord met en garde la Chine contre toute action imprudente  .  REPUBLIKA.CO.ID, PYONGYANG -- Le gouvernement nord-coréen a critiqué la Chine au sujet de son programme</t>
  </si>
  <si>
    <t xml:space="preserve">L'armée thaïlandaise a détecté le MH370 sur son radar, mais...  .  REPUBLIKA.CO.ID, KUALA LUMPUR -- Les enquêteurs continuent de rechercher l'avion de Malaysia Airlines qui </t>
  </si>
  <si>
    <t>Iran : le nucléaire israélien, une menace mondiale  .  REPUBLIKA.CO.ID, TÉHÉRAN -- L'ambassadeur iranien auprès de l'agence de surveillance nucléaire de l'ONU a déclaré jeudi (7/6)</t>
  </si>
  <si>
    <t>Cette femme a attendu un siècle pour aller à la plage  .  REPUBLIKA.CO.ID, WASHINGTON DC -- Ruby Holt, une Américaine, a enfin eu l’occasion de profiter de la beauté</t>
  </si>
  <si>
    <t>Le TMC ferme les locaux d’Al Jazeera à Khartoum  .  REPUBLIKA.CO.ID, KHARTOUM — Le Conseil militaire de transition soudanais (TMC) a fermé les locaux de la chaîne qatarie</t>
  </si>
  <si>
    <t>Le président iranien : « Les États-Unis nous demandent sans cesse de négocier »  .  REPUBLIKA.CO.ID, GENÈVE — Le président iranien Hassan Rohani a révélé l’existence de pressions constantes visant à</t>
  </si>
  <si>
    <t>L'équipe de campagne de Donald Trump secouée par une affaire de financement russe  .  REPUBLIKA.CO.ID, WASHINGTON -- L'équipe de campagne du candidat républicain à la présidence des États-Unis, Don</t>
  </si>
  <si>
    <t xml:space="preserve">En moins de 48 heures, les agressions israéliennes ont tué 110 Palestiniens  .  REPUBLIKA.CO.ID, BETHLÉEM -- Pas moins de 110 Palestiniens ont été tués lors d'une offensive terrestre israélienne, samedi </t>
  </si>
  <si>
    <t>L'émir du Qatar offre son soutien au président soudanais  .  REPUBLIKA.CO.ID, KHARTOUM -- L'émir du Qatar, Cheikh Tamim bin Hamad Al Thani, a téléphoné au président soudanais Oma</t>
  </si>
  <si>
    <t>La Corée du Nord qualifie le Premier ministre japonais d’« Hitler de l’Asie »  .  REPUBLIKA.CO.ID,&amp;nbsp; SÉOUL -- La Corée du Nord a dénoncé mardi le Japon et qualifié le Premier ministre</t>
  </si>
  <si>
    <t>États-Unis et Singapour mènent des exercices militaires navals, que se passe-t-il ?  .  REPUBLIKA.CO.ID, SINGAPOUR---Singapour et les États-Unis mènent actuellement des exercices maritimes annuels</t>
  </si>
  <si>
    <t>La Chine demande à un sénateur américain de prouver ses accusations de sabotage  .  REPUBLIKA.CO.ID, PÉKIN -- La Chine a déclaré que le sénateur américain (États-Unis) du Parti républicain, Rick</t>
  </si>
  <si>
    <t>Israël attaque des sites de lancement de roquettes à Gaza  .  REPUBLIKA.CO.ID, JÉRUSALEM -- L'armée de l'air israélienne a pris pour cible des sites de lancement de roquettes à Ga</t>
  </si>
  <si>
    <t>Le Mexique continue de faire pression sur les États-Unis pour qu’ils qualifient la fusillade d’El Paso d’acte terroriste  .  REPUBLIKA.CO.ID, MEXICO CITY -- Le gouvernement mexicain intensifie ses pressions sur les États-Unis</t>
  </si>
  <si>
    <t>Des frappes aériennes israéliennes de représailles frappent Gaza  .  REPUBLIKA.CO.ID, JÉRUSALEM --&amp;nbsp; Israël a lancé des frappes aériennes sur la bande de Gaza en réponse</t>
  </si>
  <si>
    <t xml:space="preserve">Chut, voici la lettre secrète d’Obama au dirigeant iranien  .  REPUBLIKA.CO.ID, WASHINGTON -- Le président américain Barack Obama a déclaré avoir écrit une lettre </t>
  </si>
  <si>
    <t>À son arrivée aux Maldives, cet attaquant de Jayapura serait malade  .  REPUBLIKA.CO.ID, JAYAPURA -- L'attaquant ivoirien de Persipura Jayapura, Lancine Sanogo Kone, a été</t>
  </si>
  <si>
    <t>Des centaines d'Américains organisent une action de solidarité avec la Palestine  .  REPUBLIKA.CO.ID, NEW YORK -- Plus de 800 citoyens américains se sont rassemblés au New York Times S</t>
  </si>
  <si>
    <t>L'Arabie saoudite et la Russie se rapprochent sur la question du pétrole mondial  .  REPUBLIKA.CO.ID, JAKARTA -- L'Arabie saoudite et la Russie ont convenu de renforcer leur coopération en matière de</t>
  </si>
  <si>
    <t xml:space="preserve">Les travailleurs vietnamiens et thaïlandais sont les mieux préparés à la production de voitures électriques  .  REPUBLIKA.CO.ID, BANDUNG -- La Chambre de commerce et d'industrie (Kadin) de Java-Ouest (Jabar) a déclaré que les travailleurs </t>
  </si>
  <si>
    <t>Le gouvernement espagnol expulse l'ambassadeur nord-coréen  .  REPUBLIKA.CO.ID, MADRID -- L'Espagne a ordonné à l'ambassadeur de la Corée du Nord (Corée du Nord) de quitter le</t>
  </si>
  <si>
    <t xml:space="preserve">Une étude sur 100 ans révèle les hommes et les femmes les plus grands du monde  .  REPUBLIKA.CO.ID, LONDRES -- Les hommes néerlandais et les femmes lettones sont les êtres les plus grands de la planète </t>
  </si>
  <si>
    <t>Le Congrès américain souhaite en fait reporter la livraison d'armes à la Syrie  .  REPUBLIKA.CO.ID, WASHINGTON -- Bien que le gouvernement n'ait pas annoncé de plan immédiat de livraison d'armes,</t>
  </si>
  <si>
    <t>La Russie participe aux pourparlers entre la Syrie et les Kurdes  .  REPUBLIKA.CO.ID, NORD DE LA SYRIE -- Le gouvernement syrien et les Forces démocratiques syriennes (FDS) ont entamé des négociations</t>
  </si>
  <si>
    <t>La visite d’une délégation bahreïnienne en Israël suscite des critiques  .  REPUBLIKA.CO.ID, AL-MANAMAH -- Une délégation bahreïnienne composée de 25 personnes s’est rendue à Ye</t>
  </si>
  <si>
    <t>Freeport et la paix palestinienne au cœur des discussions de la ministre indonésienne des Affaires étrangères aux États-Unis  .  REPUBLIKA.CO.ID, La ministre indonésienne des Affaires étrangères Retno Lestari Marsudi se trouve actuellement aux États-Unis pour rencontrer plusieurs</t>
  </si>
  <si>
    <t>Scandale Trump-Ukraine : le représentant américain pour l'Ukraine démissionne  .  REPUBLIKA.CO.ID, WASHINGTON -- Le représentant spécial des États-Unis (US) pour l'Ukraine, Kurt Volker, a démissionné</t>
  </si>
  <si>
    <t>Israël lance à nouveau des frappes aériennes  .  REPUBLIKA.CO.ID, GAZA CITY -- Israël a de nouveau mené des frappes aériennes sur la bande de Gaza six heures après</t>
  </si>
  <si>
    <t>Les États-Unis envoient un membre du Parlement aux pourparlers de paix en Égypte  .  REPUBLIKA.CO.ID, LE CAIRE -- Les États-Unis (US) ont envoyé un envoyé pour participer aux pourparlers de paix</t>
  </si>
  <si>
    <t>Une « pause rafraîchissante » aide les Pays-Bas à s'imposer  .  REPUBLIKA.CO.ID, FORTALEZA -- La première mi-temps du match opposant les Pays-Bas au Mexique s'est terminée sans</t>
  </si>
  <si>
    <t>La Liga prévoit d'organiser des matchs aux États-Unis  .  REPUBLIKA.CO.ID, MADRID -- L'organisme gestionnaire de la Liga espagnole a annoncé son intention d'organiser des matchs</t>
  </si>
  <si>
    <t>La Russie commence à mettre en quarantaine ses ressortissants de retour de Wuhan  .  REPUBLIKA.CO.ID, MOSCOU -- La Russie a commencé à mettre en quarantaine ses citoyens de retour de Wuhan, en Chine. Mer</t>
  </si>
  <si>
    <t>Source : Une attaque russe a tué 50 civils syriens  .  REPUBLIKA.CO.ID, DAMAS -- Au total, 50 civils ont été tués et 200 autres blessés lors de l'attaque</t>
  </si>
  <si>
    <t>L'AS Rome recrute officiellement Adem Ljajic  .  REPUBLIKA.CO.ID, ROME -- L'AS Rome a recruté l'attaquant serbe Adem Ljajic, qui évoluait dans un autre club de Serie A, le F</t>
  </si>
  <si>
    <t>Donald Trump se moque que l'Iran accepte de négocier  .  REPUBLIKA.CO.ID, WASHINGTON -- Le président américain Donald Trump a déclaré qu'il se moquait que</t>
  </si>
  <si>
    <t>Fabregas absent lors du match de l'Espagne contre l'Équateur en raison d'une blessure  .  REPUBLIKA.CO.ID, MADRID -- Le milieu de terrain espagnol Cesc Fabregas a été écarté de l'équipe qui se rend en Équateur</t>
  </si>
  <si>
    <t>La moitié des Américains pense que leur pays entrera en guerre contre l'Iran  .  REPUBLIKA.CO.ID, WASHINGTON -- La moitié de l'ensemble des citoyens des États-Unis (États-Unis) est convaincu que son pays va</t>
  </si>
  <si>
    <t xml:space="preserve">Del Bosque : la Croatie est l’adversaire le plus coriace du groupe D  .  REPUBLIKA.CO.ID, MADRID -- L’équipe nationale espagnole a déclaré que la Croatie serait l’adversaire le plus coriace du </t>
  </si>
  <si>
    <t>Taiwan organise des exercices militaires face aux tensions avec la Chine  .  REPUBLIKA.CO.ID, KAOHSIUNG -- Taïwan a mené des exercices militaires mercredi, les chefs de la marine assurant</t>
  </si>
  <si>
    <t>Eric Abidal de retour en équipe nationale  .  REPUBLIKA.CO.ID, PARIS -- Le nouveau joueur de l'AS Monaco, Eric Abidal, a de nouveau été appelé en équipe nationale française</t>
  </si>
  <si>
    <t xml:space="preserve">Le pétrolier japonais qui a explosé était ancré au large des côtes des Émirats arabes unis  .  REPUBLIKA.CO.ID, DUBAÏ -- L'un des deux pétroliers qui ont explosé lors des attaques </t>
  </si>
  <si>
    <t>La Turquie demande à ses ressortissants de quitter l'Irak  .  REPUBLIKA.CO.ID, ANKARA -- La Turquie appelle ses ressortissants à quitter l'ensemble du territoire irakien, k</t>
  </si>
  <si>
    <t>Les États-Unis vont saisir les revenus pétroliers de Maduro et les transférer à Guaido  .  REPUBLIKA.CO.ID, CARACAS &amp;ndash;- Les États-Unis veilleront à ce que les recettes pétrolières du Venezuela soient</t>
  </si>
  <si>
    <t>Des joueurs turbulents, le match de qualification pour l'Euro reporté  .  REPUBLIKA.CO.ID, BELGRADE &amp;nbsp;-- &amp;nbsp;Le match de qualification pour l'Euro 2016 entre la Serbie et l'Albanie</t>
  </si>
  <si>
    <t xml:space="preserve">Un penalty de De Rossi sauve l'Italie de la défaite  .  REPUBLIKA.CO.ID, TURIN -- L'Italie partage les points avec l'Espagne après un match nul 1-1 </t>
  </si>
  <si>
    <t xml:space="preserve">Le Royaume-Uni demande à ses ressortissants de quitter la Chine  .  REPUBLIKA.CO.ID, LONDRES -- Le gouvernement britannique a ordonné à ses ressortissants de quitter immédiatement la Chine </t>
  </si>
  <si>
    <t>Menacé par le ministre américain de la Défense, la police singapourienne a tué une personne  .  REPUBLIKA.CO.ID, SINGAPOUR -- La police singapourienne a abattu une personne et en a arrêté deux autres</t>
  </si>
  <si>
    <t>Témoin : génocide et viols au Soudan du Sud  .  REPUBLIKA.CO.ID, JUBA -- Le conflit et les violences au Soudan s'aggravent. L'armée du Soudan du Sud, selon</t>
  </si>
  <si>
    <t>Le PP Muhammadiyah condamne les frappes des États-Unis et de leurs alliés en Syrie  .  REPUBLIKA.CO.ID, JAKARTA -- En Syrie, des dizaines de civils innocents ont perdu la vie, y compris des</t>
  </si>
  <si>
    <t>Chine : les droits de douane américains doivent être supprimés pour un accord commercial  .  REPUBLIKA.CO.ID, PÉKIN -- Le ministère chinois du Commerce a déclaré jeudi (4/7) que les droits de douane imposés</t>
  </si>
  <si>
    <t>L'aide de l'Arabie saoudite réduit le déficit de l'Office de secours et de travaux des Nations unies pour les réfugiés de Palestine (UNRWA)  .  REPUBLIKA.CO.ID, RIYAD -- Le commissaire général de l'Office de secours et de travaux des Nations unies pour les réfugiés de Palestine (UNRWA), Pierre Kra</t>
  </si>
  <si>
    <t>Piqué : le football enseigne la discipline  .  REPUBLIKA.CO.ID, BRÉSIL -- Le défenseur de l'équipe nationale espagnole, Gerard Piqué, a admis que</t>
  </si>
  <si>
    <t>TRAD</t>
  </si>
  <si>
    <t>L'Afrique fait le bilan de son échec à la Coupe du monde 2018 en Russie  .REPUBLIKA.CO.ID, RABAT -- Le football africain sera au cœur des discussions lors d'un symposium de deux jours au Maroc, organisé</t>
  </si>
  <si>
    <t>SXM</t>
  </si>
  <si>
    <t>BRA</t>
  </si>
  <si>
    <t>Em um minuto: Como o míssil norte-coreano mudou o jogo contra os EUA  .  WASHINGTON — O teste de um míssil intercontinental da Coreia do Norte, confirmado por autoridades am</t>
  </si>
  <si>
    <t>Representantes de Maduro e de Guaidó se encontram pela primeira vez na Noruega  .  OSLO - Representantes do presidente da Venezuela, Nicolás Maduro, e do líder da oposição, Juan Guaid</t>
  </si>
  <si>
    <t>‘Europa só pode ser forte se Alemanha e França prosperarem’, afirma Merkel  .  BERLIM - A chanceler alemã Angela Merkel afirmou em entrevista coletiva nesta segunda-feira que a Eu</t>
  </si>
  <si>
    <t>Stanley Braafheid, intérprete: 'Senti frio e Fellini disparou: claro, é fevereiro!’  .  “Nasci no Suriname há 69 anos, quando ainda era Guiana Holandesa, e aos 3anos fomos morar no Caribe</t>
  </si>
  <si>
    <t>Obama promete agir rapidamente para retirar Cuba da lista de países que apoiam o terrorismo  .  WASHINGTON — O presidente dos Estados Unidos, Barack Obama, prometeu nesta terça-feira agir rapidame</t>
  </si>
  <si>
    <t xml:space="preserve">Após gol no último minuto, técnico da Grécia comemora “com cerveja” e o da Costa do Marfim deixa o cargo  .  FORTALEZA - Era impossível ficar indiferente numa reviravolta tão grande no último minuto dem jogo. </t>
  </si>
  <si>
    <t>Turquia inicia ofensiva por terra contra Estado Islâmico na Síria  .  ANCARA — Unidades das forças especiais e jatos da Turquia, apoiados por aviões de guerra de uma coal</t>
  </si>
  <si>
    <t>Brasil está disposto a convencer China e Rússia que Maduro é ilegítimo, diz chanceler  .  BRASÍLIA — O ministro das Relações Exteriores, Ernesto Araújo, disse nesta sexta-feira que já existe</t>
  </si>
  <si>
    <t xml:space="preserve">EUA dizem que estudam com União Europeia um novo pacote financeiro para Ucrânia  .  WASHINGTON - Os EUA afirmaram nessa segunda-feira que estão em negociação com a União Europeia para </t>
  </si>
  <si>
    <t>China compra mais soja do Brasil devido a guerra comercial com EUA, e preços sobem 10%  .  SÃO PAULO - O mercado de soja do Brasil ganhou um ingrediente adicional nesta semana, com processado</t>
  </si>
  <si>
    <t>No Chile, Bolsonaro assina declaração conjunta com Piñera e rejeita intervenção militar na Venezuela  .  SANTIAGO - O presidente Jair Bolsonaro e o presidente do Chile, Sebastián Piñera — que mantém um gov</t>
  </si>
  <si>
    <t>Avanço do EI contra ‘cidade do apocalipse’ provoca fuga em massa na Síria  .  ISTAMBUL - Uma nova onda de refugiados fugiu no Norte da Síria em direção à Turquia após o Estado Is</t>
  </si>
  <si>
    <t>Após intercâmbio com o Japão, Brasil quer golear a Alemanha  .  SÃO PAULO - Com a proximidade dos Jogos Olímpicos do Rio, o Brasil passou a ser referência em alguma</t>
  </si>
  <si>
    <t>Bolsa abre em queda e dólar sobe para R$ 5,59 com aumento da tensão entre EUA e China  .  RIO - O aumento da tensão entre os Estados Unidos e China azedou os ânimos dos investidores nesta se</t>
  </si>
  <si>
    <t>Vida em Gaza está pior depois dos bombardeios  .  JERUSALÉM — Pouca coisa mudou sete semanas após o cessar-fogo entre Israel e os grupos palestinos qu</t>
  </si>
  <si>
    <t>Coreia do Norte diz que EUA são um 'cemitério dos direitos humanos'  .  PYONGYANG - A decisão do grande júri de não indiciar o policial branco Michael Brown que no dia 9 de</t>
  </si>
  <si>
    <t>Chile defende título da Copa América contra Argentina saturada por jejum  .  De um lado, os defensores do título. De outro, uma seleção há 23 anos sem conquistas. Em outros temp</t>
  </si>
  <si>
    <t xml:space="preserve">China pede aos EUA fim da 'repressão irracional' contra a Huawei  .  PEQUIM - A China pediu aos Estados Unidos neste sábado que acabe com "a repressão irracional contra </t>
  </si>
  <si>
    <t>Odebrecht vende hidrelétrica para China por R$ 5,5 bilhões  .  A Odebrecht concluiu hoje a venda da Chaglla, usina hidrelétrica no Peru, para a Three Gorges, da Ch</t>
  </si>
  <si>
    <t xml:space="preserve">Brasil vai vencendo a Rússia no Mundial de vôlei  .  POLÔNIA – Brasil e Rússia estão revivendo, no Campeonato Mundial, na Polônia, a maior rivalidade do </t>
  </si>
  <si>
    <t>Veja como comprar um imóvel nos EUA e em Portugal  .  Conteúdo exclusivo para assinantes, acesse no site do globo.</t>
  </si>
  <si>
    <t xml:space="preserve">Rússia de Putin projeta sombras sobre Ucrânia  .  O governo da Ucrânia sobreviveu a um voto de confiança provocado por sua decisão de voltar atrás na </t>
  </si>
  <si>
    <t>Israel suspende negociações de paz com palestinos  .  TEL AVIV — O gabinete de segurança israelense decidiu suspender as negociações de paz com os palesti</t>
  </si>
  <si>
    <t>Seleção feminina do Canadá ganha de virada da Alemanha e faz nove pontos  .  BRASÍLIA - Demorou, mas o estádio Mané Garrincha finalmente viu um jogo em o gol não foi artigo raro</t>
  </si>
  <si>
    <t>Afeganistão sem Otan  .  RIO - A retirada total das tropas da Otan no Afeganistão, lideradas pelos EUA desde a invasão em 201</t>
  </si>
  <si>
    <t>Conflito na Líbia gera atritos entre França e Itália  .  ROMA e TRÍPOLI — França e a Itália entraram em atrito nesta quinta-feira aodiscutir a melhor maneir</t>
  </si>
  <si>
    <t>Mercosul inicia aplicação de 'Cláusula Democrática' sobre Venezuela  .  BUENOS AIRES- Após uma reunião de urgência, convocada na última sexta-feira pela Argentina - país qu</t>
  </si>
  <si>
    <t>Israel anuncia operação contra túneis subterrâneos na fronteira com Líbano  .  JERUSALÉM — As forças militares de Israel anunciaram nesta terça-feira o início de uma operação para</t>
  </si>
  <si>
    <t>China cria incerteza sobre futuro de Hong Kong  .  A China prometeu, em 1997, que a eleição de 2017 para chefe de governo de Hong Kong seria por sufrág</t>
  </si>
  <si>
    <t>Artigo: O tempo corre contra os EUA e a favor do Estado Islâmico no Iraque  .  WASHINGTON — Na sexta-feira passada, em uma noite em que chegaram notícias sobre iraquianos mortos e</t>
  </si>
  <si>
    <t>Venezuela fecha mais uma fronteira com a Colômbia  .  CARACAS - O presidente da Venezuela, Nicolás Maduro, está ampliando uma ofensiva para combater o con</t>
  </si>
  <si>
    <t>Levar embaixada dos EUA a Jerusalém destruiria processo de paz, diz OLP  .  RAMALLAH - A ameaça do indicado de Donald Trump à embaixada americana em Israel fez as autoridades p</t>
  </si>
  <si>
    <t xml:space="preserve">Ministro do Irã critica Trump após discurso na Arábia Saudita  .  BEIRUTE — O ministro iraniano das Relações Exteriores, Mohammad Javad Zarif, criticou neste domingo </t>
  </si>
  <si>
    <t>May exige novo acordo com a UE sobre fronteira com a Irlanda    .  BELFAST - A primeira-ministra do Reino Unido, Theresa May, pediu à União Europeia (UE) nesta sexta-f</t>
  </si>
  <si>
    <t>EUA consideram restringir venda de petróleo da Venezuela  .  BUENOS AIRES - O secretário de Estado norte-americano, Rex Tillerson, disse neste domingo que os Est</t>
  </si>
  <si>
    <t xml:space="preserve">Conflito agrava crise econômica da Ucrânia  .  WASHINGTON A economia da Ucrânia está entre as vítimas do conflito com separatistas pró-Rússia, que </t>
  </si>
  <si>
    <t>Vaticano investiga denúncias de padres que aparecem nus em fotos de sites gays na Itália  .  RIO - Mais um escândalo sexual pode abalar as estruturas da Igreja Católica. Desta vez trata-se de u</t>
  </si>
  <si>
    <t>Tite repete escalação de amistoso e indica quarteto contra a Suíça  .  SOCHI — Tite gostou do que viu contra a Áustria e deve repetir a dose domingo. Nesta quinta-feira, n</t>
  </si>
  <si>
    <t>Holanda e Chile decidem o primeiro lugar do grupo B em São Paulo  .  SÃO PAULO - Enquanto um desdenha, o outro mostra respeito. Nem Holanda, nem Chile pretendem ficar em</t>
  </si>
  <si>
    <t xml:space="preserve">James Hetfield volta à reabilitação e Metallica cancela shows na Austrália e Nova Zelândia  .  RIO — Em um pronunciamento oficial feito nesta sexta-feira, o Metallica anunciou o adiamento de sua </t>
  </si>
  <si>
    <t>EUA e Guatemala assinam acordo sobre imigração após ameaças de Trump  .  WASHINGTON — Os governos de EUA e Guatemala assinaram, nesta sexta-feira, um acordo com novas regras</t>
  </si>
  <si>
    <t>ONU apela com Netanyahu por volta de negociações de paz com a Palestina  .  NAÇÕES UNIDAS - A ONU lançou um apelo nesta quarta-feira para que o primeiro-ministro de Israel, Ben</t>
  </si>
  <si>
    <t>Após paralisarem Fundo Amazônia, europeus prometem R$ 1,5 bi à floresta colombiana  .  BOGOTA - Noruega, Alemanha e Grã-Bretanha declararam nesta quinta-feira que gastarão até 366 milhões</t>
  </si>
  <si>
    <t>Padre italiano é sequestrado na Nigéria  .  VATICANO — O missionário italiano Maurizio Pallu foi sequestrado na quinta-feira no sul da Nigéria p</t>
  </si>
  <si>
    <t>Regulador chinês da internet encontra-se nos EUA com CEO’s do Facebook, da Apple e da Amazon  .  RIO – O chefe daadministração do ciberespaço na China, Lu Wei, fez recentemente umpériplo por algu</t>
  </si>
  <si>
    <t xml:space="preserve">Zagueiro nigeriano já estuda maneira para anular Messi  .  Rio - A estreia da Argentina na última Copa do Mundo, com vitória por 1 a 0 sobre a Nigéria, gol de </t>
  </si>
  <si>
    <t>EUA espionaram Brasil sobre sanções ao Irã, diz revista  .  A Agência de Segurança Nacional (NSA) dos Estados Unidos espionou países-membros do Conselho de Segu</t>
  </si>
  <si>
    <t>Coronavírus: Brasil chega a 28.834 óbitos e passa a França  .  BRASÍLIA - Um dia após superar a Espanha em número de mortos pelo novo coronavírus, o Brasil registr</t>
  </si>
  <si>
    <t>Oposição síria faz apelo a Congresso dos EUA  .  ISTAMBUL – Os rebeldes sírios fizeram um apelo neste domingo para que o Congresso dos EUA aprove a a</t>
  </si>
  <si>
    <t>Mujica chama Brasil e Argentina de ‘repúblicas das bananas’  .  MONTEVIDÉU — O ex-presidente do Uruguai, José (Pepe) Mujica, voltou a criticar o governo do presiden</t>
  </si>
  <si>
    <t>Mulheres rohingya foram violentadas em campos da Tailândia e Malásia  .  KUALA LUMPUR - Várias mulheres da comunidade muçulmana rohingya retidas por traficantes em campos cl</t>
  </si>
  <si>
    <t>EUA vão enviar 100 soldados para combater o EI no Iraque  .  WASHINGTON - Os Estados Unidos vão enviar cerca de 100 soldados ao Iraque para lutar contra o Estado</t>
  </si>
  <si>
    <t>Bolsonaro diz que evitar novo governo de esquerda na Argentina é 'mais importante' que solução para crise na Venezuela  .  BRASÍLIA - O presidente Jair Bolsonaro disse, nesta quinta-feira, que o acordo de livre-comércio fir</t>
  </si>
  <si>
    <t>Papa cogita aceitar convite de Kim para visita inédita à Coreia do Norte  .  CIDADE DO VATICANO - O Papa Francisco disse que cogita visitar a Coreia do Norte, depois de ter rece</t>
  </si>
  <si>
    <t>EUA: Twitter diz ter desativado 201 contas ligadas à Rússia durante eleição  .  WASHINGTON — O Twitter desativou 201 contas que estavam ligadas aos mesmos operadores russos que pos</t>
  </si>
  <si>
    <t>Uruguai elimina Iraque nos pênaltis e vai à final do Mundial Sub-20  .  RIO - "Com o Uruguai é tudo mais difícil". A frase do capitão Lugano serve até mesmo para as categor</t>
  </si>
  <si>
    <t>Para representante do Comércio dos EUA, há pouco progresso nas conversas com a China  .  WASHINGTON - O representante do Comércio dos Estados Unidos, Robert Lighthizer, não viu muito progre</t>
  </si>
  <si>
    <t xml:space="preserve">Espanha posta taça de Mundial como provocacão a Portugal  .  A Federação de Futebol da Espanha postou em seu twitter uma pequena provocação a Portugal. Na noite </t>
  </si>
  <si>
    <t>Parlamento espanhol aprova resolução pedindo reconhecimento do Estado palestino  .  MADRI — A Câmara dos Deputados da Espanha aprovou nesta terça-feira por ampla maioria (319 votos a f</t>
  </si>
  <si>
    <t>Obama considera realizar ataque rápido contra a Síria  .  RIO - O presidente dos Estados Unidos, Barack Obama, está considerando realizar um ataque militar co</t>
  </si>
  <si>
    <t>Dunga convoca Kaká para amistoso da seleção brasileira contra Argentina e Japão  .  RIO - O meia Kaká está de volta à seleção brasileira. Ele foi convocado pelo técnico Dunga para o lu</t>
  </si>
  <si>
    <t>Macron diz que Otan tem 'morte cerebral' e questiona comprometimento dos EUA  .  PARIS — O presidente da França, Emmanuel Macron, disse em entrevista à revista americana The Economi</t>
  </si>
  <si>
    <t xml:space="preserve">Petição contra visita de Trump ao Reino Unido tem mais de um milhão de assinaturas  .  LONDRES — Uma petição contra a visita de Estado do presidente dos EUA, Donald Trump, ao Reino Unido </t>
  </si>
  <si>
    <t>Kerry quer que Conselho de Segurança tome decisão sobre Síria na próxima semana  .  WASHINGTON - O secretário de Estados dos EUA, John Kerry, defendeu nesta quinta-feira que o Conselho</t>
  </si>
  <si>
    <t>Para especialistas, possível ação militar está longe de trazer cenário ideal ao Ocidente  .  GENEBRA — Os tambores da guerra estão rufando. No momento em que Estados Unidos e França preparam se</t>
  </si>
  <si>
    <t>Escalada de violência no Leste da Ucrânia preocupa EUA e ONU  .  WASHINGTON - Os Estados Unidos e a ONU manifestaram profunda preocupação com a escalada de violência</t>
  </si>
  <si>
    <t>Domino’s começará a usar robôs para entregar pizzas na Europa  .  LONDRES - Em breve, os clientes da Domino’s na Alemanha e Holanda terão suas pizzas entregues não ma</t>
  </si>
  <si>
    <t>China apela para moderação após aumento de tensão sobre Síria  .  PEQUIM - O chanceler da China pediu moderação nesta quinta-feira após o aumento da tensão sobre a si</t>
  </si>
  <si>
    <t>Israel aprova mais 2.500 casas em colônias na Cisjordânia  .  TEL AVIV — Israel aprovou nesta terça-feira a construção de mais 2.500 casas em colônias na Cisjordâ</t>
  </si>
  <si>
    <t>Yiscah Smith, educadora e mentora espiritual: ‘Não existe nada na Bíblia sobre transgêneros’  .  “Eu nasci nos EUA em 1951 e visitei Israel pela primeira vez aos 20 anos.Durante quatro décadas, bu</t>
  </si>
  <si>
    <t>Independiente vence o Libertad e espera Flamengo ou Junior Barranquilla na decisão  .  O Independiente da Argentina venceu por 3 a 1 o Libertad do Paraguai na noite desta terça-feira e va</t>
  </si>
  <si>
    <t xml:space="preserve">Porto Rico vira linha de frente dos Estados Unidos contra zika, diz NYT  .  SAN JUAN, Porto Rico – Em uma marcha inexorável pelo hemisfério, o vírus zika começou a se espalhar </t>
  </si>
  <si>
    <t xml:space="preserve">Funcionária do Subway usa forno para secar meias e posta foto no Instagram  .  LONDRES - Uma funcionária da lanchonete Subway em Worcester (Reino Unido) colocou as meias úmidas e </t>
  </si>
  <si>
    <t>Em Buenos Aires, Bolsonaro cita Venezuela e pede que argentinos 'votem com responsabilidade'  .  BUENOS AIRES — Em sua primeira visita de Estado à Argentina, o presidente Jair Bolsonaro disse nesta</t>
  </si>
  <si>
    <t xml:space="preserve">Trump diz que China sofrerá consequências se país tiver responsabilidade na pandemia da Covid-19  .  WASHINGTON — O presidente dos Estados Unidos, Donald Trump, voltou a acusar a China de ter cometido </t>
  </si>
  <si>
    <t>Iraque ganha réplica da Casa Branca, construída por magnata curdo  .  ERBIL, IRAQUE - Shihab N. Shihab acredita que vai superar o presidente dos Estados Unidos, Barack Ob</t>
  </si>
  <si>
    <t>China corta tributação sobre dividendos para acionistas de longo prazo  .  HONG KONG e PEQUIM - A China anunciou nesta segunda-feira que irá isentar do imposto de renda pessoa</t>
  </si>
  <si>
    <t>Cabo Verde captura suspeito de massacre  .  LISBOA, Portugal — A polícia de Cabo Verde capturou nesta quarta-feira o soldado suspeito de matar 1</t>
  </si>
  <si>
    <t>EUA detêm número recorde de crianças migrantes, ultrapassando gestão Obama  .  TENOSIQUE, México - Os Estados Unidos detiveram mais crianças tentando atravessar a fronteira sudoes</t>
  </si>
  <si>
    <t xml:space="preserve">Alemanha e Turquia tentam reaproximação após ano de tensões  .  BERLIM - Os chefes da diplomacia turca e alemã se reúnem neste sábado na Alemanha com o objetivo de </t>
  </si>
  <si>
    <t>Volta da Rússia à África preocupa os Estados Unidos  .  Conteúdo exclusivo para assinantes, acesse no site do globo.</t>
  </si>
  <si>
    <t>'Não nos testem', diz Trump à Coreia do Norte em viagem pela Ásia  .  SEUL - O presidente dos Estados Unidos, Donald Trump, lançou nesta quarta-feira uma severa advertênc</t>
  </si>
  <si>
    <t xml:space="preserve">Rebeldes treinados pelos EUA cederam veículos e armas à al-Qaeda síria  .  WASHINGTON - Um grupo paramilitar sírio treinado pelos EUA para combater o Estado Islâmico cedeu ao </t>
  </si>
  <si>
    <t>Incerteza na Grécia na véspera de migrantes serem devolvidos à Turquia  .  LESBOS, Grécia (Reuters) - A menos de 24 horas antes da Grécia começas a devolver migrantes para a v</t>
  </si>
  <si>
    <t xml:space="preserve">Crianças vivem pesadelo com guerras no Iraque e na Síria  .  RIO — Com milhares de mortos e deslocados, os conflitos na Síria e no Iraque colocam em evidência o </t>
  </si>
  <si>
    <t>Em instalação, público pode 'pular' na cara de Trump  .  RIO — A dupla de artistas Erik Kessels (Holanda) e Thomas Mailaender (França) vai oferecer a algumas</t>
  </si>
  <si>
    <t>Dólar é negociado a R$ 5,59, com mercado atento a possível aumento nas tensões entre China e EUA  .  RIO — Embora tenha iniciado a sexta-feira em queda, poucos minutos após a abertura o dólar comercial</t>
  </si>
  <si>
    <t>Copa América: Rueda diminui expectativas sobre Chile e aponta Uruguai como favorito ao título  .  SÃO PAULO — Atual bicampeão, o Chile não quer saber de favoritismo antes de sua estreia na Copa Amér</t>
  </si>
  <si>
    <t>EUA enviarão mais 200 tropas para combater jihadistas no Iraque  .  BAGDÁ — Os Estados Unidos enviarão mais tropas ao Iraque, em uma medida que aumenta sua campanha con</t>
  </si>
  <si>
    <t xml:space="preserve">Míssil israelense atinge bar durante jogo entre Holanda e Argentina e mata 9  .  JERUSALÉM — Um míssil israelense matou 9 pessoas que assistiam ao jogo entre Argentina e Holanda na </t>
  </si>
  <si>
    <t>Congo acusa Angola de expulsar milhares de imigrantes após ação policial violenta  .  KINSHASA — O governo da República Democrática do Congo convocou nesta quarta-feira o embaixador ango</t>
  </si>
  <si>
    <t>Secretário dos EUA diz que acordo comercial com China 'tem que ser certo'  .  WASHINGTON - O presidente dos Estados Unidos, Donald Trump, vai rejeitar um acordo comercial com a C</t>
  </si>
  <si>
    <t>Cardápio do almoço da cúpula misturou sabores ocidentais e asiáticos  .  CINGAPURA — Costela bovina e carne de porco com molho agridoce: o presidente dos Estados Unidos, Don</t>
  </si>
  <si>
    <t>Hong Kong registra segunda morte por gripe aviária neste inverno  .  HONG KONG - Um homem de 62 anos oriundo da China morreu em Hong Kong de gripe aviária nesta sexta-fe</t>
  </si>
  <si>
    <t>Com adesão do Canadá, seis países levam denúncia contra Venezuela a tribunal internacional  .  NOVA YORK - Uma denúncia contra a Venezuela por supostos crimes de violação dos direitos humanos foi</t>
  </si>
  <si>
    <t>FMI: Acordo entre EUA e China pode amenizar impacto negativo da guerra comercial sobre PIB global  .  WASHINGTON - A diretora-gerente do Fundo Monetário Internacional (FMI), Kristalina Georgieva, afirmo</t>
  </si>
  <si>
    <t xml:space="preserve">Homem que atirou judeus nos EUA diz em carta ter se inspirado em massacre de mesquitas na Nova Zelândia e sinagoga de Pittsburgh  .  SAN DIEGO - O homem de 19 anos que atirou em fiéis de uma sinagoga em Poway, ao norte de San Diego, </t>
  </si>
  <si>
    <t xml:space="preserve">Em carta, irmãs de 7 e 10 anos explicam que não irão à escola por apoio a protesto  .  RIO — Duas irmãzinhas da Carolina do Norte, nos EUA, mostraram ao mundo que nunca se é jovem demais </t>
  </si>
  <si>
    <t xml:space="preserve">Melania Trump usa casaco florido de US$ 51 mil na Itália  .  RIO - Melania Trump deu um tempo no preto e escolheu um exatravagante casaco florido para vestir na </t>
  </si>
  <si>
    <t>Israel repudia ministro romeno que comparou morte de porcos a Holocausto  .  BUCARESTE (Romênia) — Israel reagiu com "repúdio e decepção", nesta quinta-feira, ao comentário feit</t>
  </si>
  <si>
    <t>NOR VEN</t>
  </si>
  <si>
    <t>SUR GUY</t>
  </si>
  <si>
    <t>GRC CIV</t>
  </si>
  <si>
    <t>CHL VEN</t>
  </si>
  <si>
    <t>CHL ARG</t>
  </si>
  <si>
    <t>CHN PER</t>
  </si>
  <si>
    <t>RUS POL</t>
  </si>
  <si>
    <t>CAN DEU</t>
  </si>
  <si>
    <t>VEN ARG</t>
  </si>
  <si>
    <t>IRN SAU</t>
  </si>
  <si>
    <t>NLD CHL</t>
  </si>
  <si>
    <t>USA GTM</t>
  </si>
  <si>
    <t>NOR DEU</t>
  </si>
  <si>
    <t>NGA VAT</t>
  </si>
  <si>
    <t>ARG NGA</t>
  </si>
  <si>
    <t>PRK VAT</t>
  </si>
  <si>
    <t>URY IRQ</t>
  </si>
  <si>
    <t>PSE ESP</t>
  </si>
  <si>
    <t>DEU NLD</t>
  </si>
  <si>
    <t>CHN SYR</t>
  </si>
  <si>
    <t>ARG PRY</t>
  </si>
  <si>
    <t>PRI USA</t>
  </si>
  <si>
    <t>CPV PRT</t>
  </si>
  <si>
    <t>GRC TUR</t>
  </si>
  <si>
    <t>CHL URY</t>
  </si>
  <si>
    <t>NLD ARG</t>
  </si>
  <si>
    <t>CAN VEN</t>
  </si>
  <si>
    <t>ISR ROM</t>
  </si>
  <si>
    <t>En bref : Comment le missile nord-coréen a changé la donne face aux États-Unis  .  WASHINGTON — L'essai d'un missile intercontinental par la Corée du Nord, confirmé par les autorités</t>
  </si>
  <si>
    <t>Des représentants de Maduro et de Guaidó se rencontrent pour la première fois en Norvège  .  OSLO - Des représentants du président vénézuélien Nicolás Maduro et du chef de l'opposition Juan Guaidó</t>
  </si>
  <si>
    <t>« L’Europe ne peut être forte que si l’Allemagne et la France prospèrent », affirme Merkel  .  BERLIN - La chancelière allemande Angela Merkel a déclaré lors d’une conférence de presse ce lundi que l’Eu</t>
  </si>
  <si>
    <t>Stanley Braafheid, interprète : « J’ai eu froid et Fellini s’est exclamé : bien sûr, on est en février ! »  .  « Je suis né au Suriname il y a 69 ans, alors que c'était encore la Guyane néerlandaise, et à l'âge de 3 ans, nous sommes allés vivre dans les Caraïbes</t>
  </si>
  <si>
    <t>Obama promet d'agir rapidement pour retirer Cuba de la liste des pays soutenant le terrorisme  .  WASHINGTON — Le président des États-Unis, Barack Obama, a promis ce mardi d'agir rapidement</t>
  </si>
  <si>
    <t xml:space="preserve">Après un but à la dernière minute, l’entraîneur de la Grèce célèbre « avec de la bière » et celui de la Côte d’Ivoire démissionne  .  FORTALEZA - Il était impossible de rester indifférent face à un tel revirement de situation à la dernière minute du match. </t>
  </si>
  <si>
    <t>La Turquie lance une offensive terrestre contre l’État islamique en Syrie  .  ANCARA — Des unités des forces spéciales et des avions de chasse turcs, appuyés par des avions de combat d’une coalition</t>
  </si>
  <si>
    <t>Le Brésil est prêt à convaincre la Chine et la Russie que Maduro est illégitime, déclare le ministre des Affaires étrangères  .  BRASÍLIA — Le ministre des Affaires étrangères, Ernesto Araújo, a déclaré ce vendredi qu’il existe déjà</t>
  </si>
  <si>
    <t xml:space="preserve">Les États-Unis affirment étudier avec l'Union européenne un nouveau plan d'aide financière pour l'Ukraine  .  WASHINGTON - Les États-Unis ont déclaré ce lundi qu'ils étaient en négociation avec l'Union européenne pour </t>
  </si>
  <si>
    <t>La Chine achète davantage de soja au Brésil en raison de la guerre commerciale avec les États-Unis, et les prix augmentent de 10 %  .  SÃO PAULO - Le marché brésilien du soja a gagné un nouvel acteur cette semaine, avec des produits transformés</t>
  </si>
  <si>
    <t>Au Chili, Bolsonaro signe une déclaration commune avec Piñera et rejette toute intervention militaire au Venezuela  .  SANTIAGO - Le président Jair Bolsonaro et le président chilien, Sebastián Piñera — qui entretient une relation</t>
  </si>
  <si>
    <t>L'avancée de l'EI contre la « ville de l'apocalypse » provoque une fuite massive en Syrie  .  ISTANBUL - Une nouvelle vague de réfugiés a fui le nord de la Syrie vers la Turquie après que l'État Is</t>
  </si>
  <si>
    <t>Après un échange avec le Japon, le Brésil veut écraser l’Allemagne  .  SÃO PAULO - À l’approche des Jeux Olympiques de Rio, le Brésil est devenu une référence dans certains domaines</t>
  </si>
  <si>
    <t>La Bourse ouvre en baisse et le dollar grimpe à 5,59 R$ avec l’intensification des tensions entre les États-Unis et la Chine  .  RIO - L'intensification des tensions entre les États-Unis et la Chine a refroidi l'enthousiasme des investisseurs ce</t>
  </si>
  <si>
    <t>La vie à Gaza s'est détériorée après les bombardements  .  JÉRUSALEM — Peu de choses ont changé sept semaines après le cessez-le-feu entre Israël et les groupes palestiniens qui</t>
  </si>
  <si>
    <t>La Corée du Nord affirme que les États-Unis sont un « cimetière des droits de l'homme »  .  PYONGYANG - La décision du grand jury de ne pas inculper le policier blanc Michael Brown qui, le 9</t>
  </si>
  <si>
    <t>Le Chili défend son titre de la Copa América contre une Argentine assoiffée de victoire  .  D'un côté, les tenants du titre. De l'autre, une équipe qui n'a plus remporté de titre depuis 23 ans. Par ailleurs</t>
  </si>
  <si>
    <t xml:space="preserve">La Chine demande aux États-Unis de mettre fin à la « répression irrationnelle » contre Huawei  .  PÉKIN - La Chine a demandé samedi aux États-Unis de mettre fin à « la répression irrationnelle contre </t>
  </si>
  <si>
    <t>Odebrecht vend une centrale hydroélectrique à la Chine pour 5,5 milliards de réaux  .  Odebrecht a conclu aujourd’hui la vente de Chaglla, une centrale hydroélectrique au Pérou, à Three Gorges, de la Ch</t>
  </si>
  <si>
    <t>Le Brésil bat la Russie au Championnat du monde de volley-ball  .  POLOGNE – Le Brésil et la Russie revivent, lors du Championnat du monde en Pologne, la plus grande rivalité de l’</t>
  </si>
  <si>
    <t>Découvrez comment acheter un bien immobilier aux États-Unis et au Portugal  .  Contenu exclusif pour les abonnés, accessible sur le site de Globo.</t>
  </si>
  <si>
    <t xml:space="preserve">La Russie de Poutine jette une ombre sur l'Ukraine  .  Le gouvernement ukrainien a survécu à un vote de confiance provoqué par sa décision de faire marche arrière sur </t>
  </si>
  <si>
    <t>Israël suspend les négociations de paix avec les Palestiniens  .  TEL AVIV — Le cabinet de sécurité israélien a décidé de suspendre les négociations de paix avec les Palestiniens</t>
  </si>
  <si>
    <t>L'équipe féminine du Canada remporte un match contre l'Allemagne après avoir été menée au score et totalise neuf points  .  BRASÍLIA - Cela a pris du temps, mais le stade Mané Garrincha a enfin vu un match où les buts n'étaient pas rares</t>
  </si>
  <si>
    <t>L'Afghanistan sans l'OTAN  .  RIO - Le retrait total des troupes de l'OTAN en Afghanistan, menées par les États-Unis depuis l'invasion en 201</t>
  </si>
  <si>
    <t>Le conflit en Libye génère des tensions entre la France et l’Italie  .  ROME et TRIPOLI — La France et l’Italie se sont heurtées ce jeudi en discutant de la meilleure manière</t>
  </si>
  <si>
    <t>Le Mercosur commence à appliquer la « clause démocratique » au Venezuela  .  BUENOS AIRES — Après une réunion d’urgence, convoquée vendredi dernier par l’Argentine — pays qui</t>
  </si>
  <si>
    <t>Israël annonce une opération contre des tunnels souterrains à la frontière avec le Liban  .  JÉRUSALEM — Les forces militaires israéliennes ont annoncé ce mardi le lancement d’une opération visant à</t>
  </si>
  <si>
    <t>La Chine sème le doute sur l’avenir de Hong Kong  .  La Chine avait promis, en 1997, que l’élection de 2017 du chef du gouvernement de Hong Kong se ferait au suffrage</t>
  </si>
  <si>
    <t>Article : Le temps joue contre les États-Unis et en faveur de l’État islamique en Irak  .  WASHINGTON — Vendredi dernier, alors que des informations faisaient état de morts parmi les Irakiens et</t>
  </si>
  <si>
    <t>Le Venezuela ferme une nouvelle frontière avec la Colombie  .  CARACAS - Le président vénézuélien, Nicolás Maduro, intensifie son offensive pour lutter contre le con</t>
  </si>
  <si>
    <t>Transférer l'ambassade américaine à Jérusalem détruirait le processus de paix, selon l'OLP  .  RAMALLAH - La menace du candidat de Donald Trump concernant l'ambassade américaine en Israël a poussé les autorités à</t>
  </si>
  <si>
    <t>Un ministre iranien critique Trump après son discours en Arabie saoudite  .  BEYROUTH — Le ministre iranien des Affaires étrangères, Mohammad Javad Zarif, a critiqué ce dimanche</t>
  </si>
  <si>
    <t>May exige un nouvel accord avec l'UE sur la frontière avec l'Irlande    .  BELFAST - La Première ministre du Royaume-Uni, Theresa May, a demandé à l'Union européenne (UE) ce vendredi</t>
  </si>
  <si>
    <t>Les États-Unis envisagent de restreindre les ventes de pétrole du Venezuela  .  BUENOS AIRES - Le secrétaire d'État américain, Rex Tillerson, a déclaré ce dimanche que les États-Unis</t>
  </si>
  <si>
    <t xml:space="preserve">Le conflit aggrave la crise économique en Ukraine  .  WASHINGTON L'économie ukrainienne fait partie des victimes du conflit avec les séparatistes pro-russes, qui </t>
  </si>
  <si>
    <t>Le Vatican enquête sur des accusations concernant des prêtres apparaissant nus sur des photos de sites gays en Italie  .  RIO - Un nouveau scandale sexuel pourrait ébranler les fondements de l'Église catholique. Cette fois-ci, il s'agit d'un</t>
  </si>
  <si>
    <t>Tite reconduit la composition du match amical et désigne un quatuor contre la Suisse  .  SOTCHI — Tite a apprécié ce qu'il a vu contre l'Autriche et devrait reconduire la même équipe dimanche. Ce jeudi, aux</t>
  </si>
  <si>
    <t>Pays-Bas et au Chili se disputent la première place du groupe B à São Paulo  .  SÃO PAULO - Tandis que l’un fait preuve de mépris, l’autre fait preuve de respect. Ni les Pays-Bas, ni le Chili n’ont l’intention de se contenter de la</t>
  </si>
  <si>
    <t xml:space="preserve">James Hetfield retourne en cure de désintoxication et Metallica annule ses concerts en Australie et en Nouvelle-Zélande  .  RIO — Dans un communiqué officiel publié ce vendredi, Metallica a annoncé le report de sa </t>
  </si>
  <si>
    <t>Les États-Unis et le Guatemala signent un accord sur l’immigration après les menaces de Trump  .  WASHINGTON — Les gouvernements américain et guatémaltèque ont signé ce vendredi un accord prévoyant de nouvelles règles</t>
  </si>
  <si>
    <t>L’ONU appelle Netanyahu à reprendre les négociations de paix avec la Palestine  .  NATIONS UNIES — L'ONU a lancé un appel ce mercredi pour que le Premier ministre israélien, Ben</t>
  </si>
  <si>
    <t>Après avoir gelé le Fonds Amazonie, les Européens promettent 1,5 milliard de reais à la forêt colombienne  .  BOGOTA — La Norvège, l'Allemagne et la Grande-Bretagne ont déclaré ce jeudi qu'elles dépenseraient jusqu'à 366 millions</t>
  </si>
  <si>
    <t>Un prêtre italien est enlevé au Nigeria  .  VATICAN — Le missionnaire italien Maurizio Pallu a été enlevé jeudi dans le sud du Nigeria p</t>
  </si>
  <si>
    <t>Le régulateur chinois de l’internet rencontre aux États-Unis les PDG de Facebook, d’Apple et d’Amazon  .  RIO – Le chef de l’administration du cyberespace en Chine, Lu Wei, a récemment effectué une tournée dans plusieurs</t>
  </si>
  <si>
    <t xml:space="preserve">Un défenseur nigérian étudie déjà comment neutraliser Messi  .  Rio - Les débuts de l’Argentine lors de la dernière Coupe du monde, avec une victoire 1-0 contre le Nigeria, but de </t>
  </si>
  <si>
    <t>Les États-Unis ont espionné le Brésil au sujet des sanctions contre l’Iran, selon un magazine  .  L’Agence de sécurité nationale (NSA) des États-Unis a espionné des pays membres du Conseil de sécurité</t>
  </si>
  <si>
    <t>Coronavirus : le Brésil atteint 28 834 décès et dépasse la France  .  BRASÍLIA - Un jour après avoir dépassé l'Espagne en nombre de décès dus au nouveau coronavirus, le Brésil a enregistré</t>
  </si>
  <si>
    <t>L'opposition syrienne lance un appel au Congrès américain  .  ISTANBUL – Les rebelles syriens ont lancé un appel ce dimanche pour que le Congrès américain approuve la</t>
  </si>
  <si>
    <t>Mujica qualifie le Brésil et l’Argentine de « républiques bananières »  .  MONTEVIDÉO — L’ancien président de l’Uruguay, José (Pepe) Mujica, a de nouveau critiqué le gouvernement du président</t>
  </si>
  <si>
    <t>Des femmes rohingyas ont été violées dans des camps en Thaïlande et en Malaisie  .  KUALA LUMPUR – Plusieurs femmes de la communauté musulmane rohingya retenues par des trafiquants dans des camps</t>
  </si>
  <si>
    <t>Les États-Unis vont envoyer 100 soldats pour combattre l’EI en Irak  .  WASHINGTON – Les États-Unis vont envoyer environ 100 soldats en Irak pour lutter contre l’État</t>
  </si>
  <si>
    <t>Bolsonaro affirme qu’empêcher un nouveau gouvernement de gauche en Argentine est « plus important » que de trouver une solution à la crise au Venezuela  .  BRASÍLIA - Le président Jair Bolsonaro a déclaré ce jeudi que l'accord de libre-échange</t>
  </si>
  <si>
    <t>Le pape envisage d'accepter l'invitation de Kim pour une visite sans précédent en Corée du Nord  .  CITÉ DU VATICAN - Le pape François a déclaré qu'il envisageait de se rendre en Corée du Nord, après avoir reçu</t>
  </si>
  <si>
    <t>États-Unis : Twitter affirme avoir désactivé 201 comptes liés à la Russie pendant les élections  .  WASHINGTON — Twitter a désactivé 201 comptes liés aux mêmes opérateurs russes qui avaient</t>
  </si>
  <si>
    <t>L'Uruguay élimine l'Irak aux tirs au but et se qualifie pour la finale de la Coupe du monde des moins de 20 ans  .  RIO - « Avec l'Uruguay, tout est plus difficile ». La phrase du capitaine Lugano s'applique même aux catégories</t>
  </si>
  <si>
    <t>Pour le représentant américain au Commerce, peu de progrès dans les négociations avec la Chine  .  WASHINGTON - Le représentant américain au Commerce, Robert Lighthizer, n'a pas constaté beaucoup de progrès</t>
  </si>
  <si>
    <t xml:space="preserve">L'Espagne affiche le trophée de la Coupe du monde pour provoquer le Portugal  .  La Fédération espagnole de football a publié sur son compte Twitter une petite provocation à l'encontre du Portugal. Dans la nuit </t>
  </si>
  <si>
    <t>Le Parlement espagnol adopte une résolution demandant la reconnaissance de l’État palestinien  .  MADRID — La Chambre des députés espagnole a adopté ce mardi à une large majorité (319 voix contre</t>
  </si>
  <si>
    <t>Obama envisage de lancer une frappe rapide contre la Syrie  .  RIO - Le président des États-Unis, Barack Obama, envisage de lancer une frappe militaire contre</t>
  </si>
  <si>
    <t>Dunga convoque Kaká pour les matchs amicaux de la sélection brésilienne contre l'Argentine et le Japon  .  RIO - Le milieu de terrain Kaká fait son retour en sélection brésilienne. Il a été convoqué par le sélectionneur Dunga pour les matchs</t>
  </si>
  <si>
    <t>Macron affirme que l'OTAN est en « mort cérébrale » et remet en question l'engagement des États-Unis  .  PARIS — Le président français, Emmanuel Macron, a déclaré dans une interview accordée au magazine américain The Economi</t>
  </si>
  <si>
    <t xml:space="preserve">Une pétition contre la visite de Trump au Royaume-Uni a recueilli plus d’un million de signatures  .  LONDRES — Une pétition contre la visite d’État du président américain Donald Trump au Royaume-Uni </t>
  </si>
  <si>
    <t>Kerry souhaite que le Conseil de sécurité prenne une décision sur la Syrie la semaine prochaine  .  WASHINGTON - Le secrétaire d’État américain John Kerry a défendu ce jeudi que le Conseil</t>
  </si>
  <si>
    <t>Pour les experts, une éventuelle intervention militaire est loin d’offrir un scénario idéal à l’Occident  .  GENÈVE — Les tambours de guerre résonnent. Alors que les États-Unis et la France se préparent à</t>
  </si>
  <si>
    <t>L’escalade de la violence dans l’est de l’Ukraine inquiète les États-Unis et l’ONU  .  WASHINGTON - Les États-Unis et l’ONU ont exprimé leur profonde inquiétude face à l’escalade de la violence</t>
  </si>
  <si>
    <t>Domino’s va commencer à utiliser des robots pour livrer des pizzas en Europe  .  LONDRES - Bientôt, les clients de Domino’s en Allemagne et aux Pays-Bas se verront livrer leurs pizzas non pas par</t>
  </si>
  <si>
    <t>La Chine appelle à la modération après la montée des tensions autour de la Syrie  .  PÉKIN - Le ministre chinois des Affaires étrangères a appelé à la modération ce jeudi après la montée des tensions concernant la Syrie</t>
  </si>
  <si>
    <t>Israël approuve la construction de 2 500 logements supplémentaires dans les colonies de Cisjordanie  .  TEL AVIV — Israël a approuvé ce mardi la construction de 2 500 logements supplémentaires dans les colonies de Cisjordanie</t>
  </si>
  <si>
    <t>Yiscah Smith, éducatrice et mentor spirituel : « Il n’y a rien dans la Bible sur les personnes transgenres »  .  « Je suis née aux États-Unis en 1951 et j’ai visité Israël pour la première fois à l’âge de 20 ans. Pendant quatre décennies, bu</t>
  </si>
  <si>
    <t>Independiente bat Libertad et attend Flamengo ou Junior Barranquilla en finale  .  L'Independiente (Argentine) s'est imposé 3-1 face au Libertad (Paraguay) mardi soir et va</t>
  </si>
  <si>
    <t>Porto Rico devient le fer de lance des États-Unis contre le virus Zika, selon le NYT  .  SAN JUAN, Porto Rico – Dans une progression inexorable à travers l'hémisphère, le virus Zika a commencé à se propager</t>
  </si>
  <si>
    <t xml:space="preserve">Une employée de Subway utilise un four pour sécher ses chaussettes et publie la photo sur Instagram  .  LONDRES - Une employée du restaurant Subway à Worcester (Royaume-Uni) a mis ses chaussettes humides et </t>
  </si>
  <si>
    <t>À Buenos Aires, Bolsonaro évoque le Venezuela et demande aux Argentins de « voter de manière responsable »  .  BUENOS AIRES — Lors de sa première visite d’État en Argentine, le président Jair Bolsonaro a déclaré ce</t>
  </si>
  <si>
    <t xml:space="preserve">Trump affirme que la Chine subira des conséquences si elle est responsable de la pandémie de Covid-19  .  WASHINGTON — Le président des États-Unis, Donald Trump, a de nouveau accusé la Chine d’avoir commis </t>
  </si>
  <si>
    <t>L’Irak se dote d’une réplique de la Maison Blanche, construite par un magnat kurde  .  ERBIL, IRAK - Shihab N. Shihab pense qu'il va dépasser le président américain Barack Ob</t>
  </si>
  <si>
    <t>La Chine réduit l'imposition des dividendes pour les actionnaires à long terme  .  HONG KONG et PÉKIN - La Chine a annoncé ce lundi qu'elle allait exonérer de l'impôt sur le revenu les personnes</t>
  </si>
  <si>
    <t>Le Cap-Vert capture un suspect du massacre  .  LISBONNE, Portugal — La police du Cap-Vert a capturé ce mercredi le soldat soupçonné d’avoir tué 1</t>
  </si>
  <si>
    <t>Les États-Unis détiennent un nombre record d’enfants migrants, dépassant l’administration Obama  .  TENOSIQUE, Mexique - Les États-Unis ont arrêté davantage d’enfants tentant de franchir la frontière sud</t>
  </si>
  <si>
    <t xml:space="preserve">L'Allemagne et la Turquie tentent un rapprochement après une année de tensions  .  BERLIN - Les chefs de la diplomatie turque et allemande se réunissent ce samedi en Allemagne dans le but de </t>
  </si>
  <si>
    <t>Le retour de la Russie en Afrique inquiète les États-Unis  .  Contenu exclusif pour les abonnés, accessible sur le site de Globo.</t>
  </si>
  <si>
    <t>« Ne nous mettez pas à l'épreuve », dit Trump à la Corée du Nord lors de son voyage en Asie  .  SÉOUL - Le président des États-Unis, Donald Trump, a lancé ce mercredi un avertissement sévère</t>
  </si>
  <si>
    <t xml:space="preserve">Des rebelles formés par les États-Unis ont cédé des véhicules et des armes à Al-Qaïda en Syrie  .  WASHINGTON - Un groupe paramilitaire syrien formé par les États-Unis pour combattre l'État islamique a cédé à </t>
  </si>
  <si>
    <t xml:space="preserve">Incertitude en Grèce à la veille du renvoi des migrants vers la Turquie  .  LESBOS, Grèce (Reuters) - À moins de 24 heures avant que la Grèce ne commence à renvoyer des migrants vers la </t>
  </si>
  <si>
    <t xml:space="preserve">Les enfants vivent un cauchemar avec les guerres en Irak et en Syrie  .  RIO — Avec des milliers de morts et de déplacés, les conflits en Syrie et en Irak mettent en évidence le </t>
  </si>
  <si>
    <t>Dans une installation, le public peut « sauter » au visage de Trump  .  RIO — Le duo d'artistes Erik Kessels (Pays-Bas) et Thomas Mailaender (France) va offrir à certains</t>
  </si>
  <si>
    <t>Le dollar s'échange à 5,59 R$, le marché restant attentif à une possible escalade des tensions entre la Chine et les États-Unis  .  RIO — Bien qu'il ait débuté la journée de vendredi en baisse, quelques minutes après l'ouverture, le dollar commercial</t>
  </si>
  <si>
    <t>Copa América : Rueda tempère les attentes concernant le Chili et désigne l’Uruguay comme favori pour le titre  .  SÃO PAULO — Actuel double champion, le Chili ne veut pas entendre parler de favoritisme avant ses débuts à la Copa Amér</t>
  </si>
  <si>
    <t>Les États-Unis enverront 200 soldats supplémentaires pour combattre les djihadistes en Irak  .  BAGDAD — Les États-Unis enverront des renforts en Irak, une mesure qui renforce leur campagne contre</t>
  </si>
  <si>
    <t xml:space="preserve">Un missile israélien frappe un bar pendant le match entre les Pays-Bas et l’Argentine, faisant 9 morts  .  JÉRUSALEM — Un missile israélien a tué 9 personnes qui assistaient au match entre l'Argentine et les Pays-Bas sur </t>
  </si>
  <si>
    <t>Le Congo accuse l'Angola d'expulser des milliers d'immigrants après une opération policière violente  .  KINSHASA — Le gouvernement de la République démocratique du Congo a convoqué mercredi l'ambassadeur angolais</t>
  </si>
  <si>
    <t>Le secrétaire d'État américain affirme qu'un accord commercial avec la Chine « doit être juste »  .  WASHINGTON - Le président des États-Unis, Donald Trump, va rejeter un accord commercial avec la C</t>
  </si>
  <si>
    <t>Le menu du déjeuner du sommet mêlait saveurs occidentales et asiatiques  .  SINGAPOUR — Côtes de bœuf et porc à la sauce aigre-douce : le président des États-Unis, Don</t>
  </si>
  <si>
    <t>Hong Kong enregistre un deuxième décès dû à la grippe aviaire cet hiver  .  HONG KONG - Un homme de 62 ans originaire de Chine est décédé à Hong Kong de la grippe aviaire ce vendredi</t>
  </si>
  <si>
    <t>Avec l'adhésion du Canada, six pays portent plainte contre le Venezuela devant un tribunal international  .  NEW YORK - Une plainte contre le Venezuela pour des crimes présumés de violation des droits de l'homme a été</t>
  </si>
  <si>
    <t>FMI : un accord entre les États-Unis et la Chine pourrait atténuer l’impact négatif de la guerre commerciale sur le PIB mondial  .  WASHINGTON - La directrice générale du Fonds monétaire international (FMI), Kristalina Georgieva, a déclaré</t>
  </si>
  <si>
    <t xml:space="preserve">L’homme qui a tiré sur des juifs aux États-Unis affirme dans une lettre s’être inspiré du massacre dans des mosquées en Nouvelle-Zélande et à la synagogue de Pittsburgh  .  SAN DIEGO - L'homme de 19 ans qui a tiré sur des fidèles d'une synagogue à Poway, au nord de San Diego, </t>
  </si>
  <si>
    <t xml:space="preserve">Dans une lettre, des sœurs âgées de 7 et 10 ans expliquent qu'elles ne se rendront pas à l'école pour soutenir une manifestation  .  RIO — Deux petites sœurs de Caroline du Nord, aux États-Unis, ont montré au monde entier qu'on n'est jamais trop jeune </t>
  </si>
  <si>
    <t xml:space="preserve">Melania Trump porte un manteau à fleurs de 51 000 dollars en Italie  .  RIO — Melania Trump a mis le noir de côté et a choisi un manteau à fleurs extravagant à porter lors de la </t>
  </si>
  <si>
    <t>Israël condamne un ministre roumain qui a comparé la mort de porcs à l'Holocauste  .  BUCAREST (Roumanie) — Israël a réagi avec « répulsion et déception », ce jeudi, à la remarque faite</t>
  </si>
  <si>
    <t>GUY</t>
  </si>
  <si>
    <t>ArcelorMittal va vendre à Liberty House des sites au Luxembourg et en Belgique  .  Le géant de l’acier répond ainsi aux inquiétudes européennes sur la concurrence, dans le cadre de so</t>
  </si>
  <si>
    <t>LUX BEL</t>
  </si>
  <si>
    <t>L’annulation d’Israël-Argentine « a le potentiel pour déclencher un jour un boycott sportif »  .  Le sociologue américain Tamir Sorek, spécialiste des liens entre sport et politique en Israël, estim</t>
  </si>
  <si>
    <t>ISR ARG</t>
  </si>
  <si>
    <t>L’Equateur donne son feu vert à la Suède pour un interrogatoire d’Assange  .  Le fondateur de WikiLeaks, accusé d’avoir violé une femme dans la région de Stockholm en 2010, vit r</t>
  </si>
  <si>
    <t>Le Liban rattrapé par la guerre en Syrie  .  La double explosion revendiquée par les djihadistes de l’Etat islamique, qui a tué 43 personnes, fai</t>
  </si>
  <si>
    <t>Football : Kanté et Payet appelés en Equipe de France  .  Didier Deschamps a dévoilé sa liste de 23 joueurs pour affronter les Pays-Bas et la Russie les 25 et</t>
  </si>
  <si>
    <t>NLD RUS</t>
  </si>
  <si>
    <t>Le chef de l’ONU met en garde la Turquie contre l’envoi de troupes en Libye  .  Plongée dans le chaos depuis la chute du régime de Mouammar Kadhafi en 2011, la Libye est en proie à</t>
  </si>
  <si>
    <t>Que va changer le rapprochement entre les Etats-Unis et Cuba ?  .  Seul le Congrés peut lever l'embargo américain sur l'île, mais le rapprochement amorcé par les prési</t>
  </si>
  <si>
    <t xml:space="preserve">Posez vos questions sur la situation au Liban après la démission du premier ministre  .  La décision inattendue de Saad Hariri a brutalement fait monter la tension entre l’Iran et l’Arabie </t>
  </si>
  <si>
    <t>LBN IRN</t>
  </si>
  <si>
    <t>Un séisme de magnitude 6,2 dans le nord-est de l’Afghanistan  .  Au moins 17 personnes ont été blessées à Peshawar, dans le nord-ouest du Pakistan.</t>
  </si>
  <si>
    <t xml:space="preserve">Pologne-Irlande du Nord en direct : suivez le match  .  Pour leur première participation à un Euro, les les Nord-irlandais affrontent la Pologne dimanche à </t>
  </si>
  <si>
    <t>POL IRL</t>
  </si>
  <si>
    <t>Rugby : les Bleus commenceront la Coupe du monde 2019 face à l’Argentine  .  Les joueurs de Guy Novès rencontreront les Pumas, demi-finalistes en 2015, le 21 septembre, au Japon</t>
  </si>
  <si>
    <t xml:space="preserve">Crise du gaz : l'Europe, la Russie et l'Ukraine cherchent un terrain d'entente  .  Ni les Ukrainiens ni les Russes ni les Européens n'ont intérêt à une « guerre du gaz » comme celles </t>
  </si>
  <si>
    <t>Ouverture de la Coupe d’Afrique des nations : suivez Burkina Faso-Cameroun en direct  .  Pour sa 11e participation à la CAN, dont une comme finaliste, les Burkinabés se frotte à un gros adv</t>
  </si>
  <si>
    <t>BFA CMR</t>
  </si>
  <si>
    <t>Arménie et Azerbaïdjan pour une "solution pacifique" au Haut-Karabakh  .  Rattachée à l'Azerbaïdjan à l'époque soviétique, cette région à majorité arménienne a été l'enjeu d'</t>
  </si>
  <si>
    <t>ARM AZE</t>
  </si>
  <si>
    <t>Iran : un attentat à la voiture piégée fait deux morts au port stratégique de Chabahar  .  La ville, exemptée de sanctions américaines, doit permettre à l’Afghanistan de dépendre moins du Pak</t>
  </si>
  <si>
    <t>IRN AFG</t>
  </si>
  <si>
    <t>Taïwan, île sous pression continue de la Chine  .  A Taïwan, le ton a changé : Taipei accuse les dirigeants chinois d’altérer le statu quo – ni indépen</t>
  </si>
  <si>
    <t>Accord entre le Qatar et les Etats-Unis contre le financement du terrorisme  .  Le chef de la diplomatie américaine Rex Tillerson rencontrait son homologue qatari à la suite des sa</t>
  </si>
  <si>
    <t xml:space="preserve">Carnival pourra organiser des croisières vers Cuba  .  L’annonce s’inscrit dans un contexte de rapprochement historique entre les Etats-Unis et La Havane, </t>
  </si>
  <si>
    <t xml:space="preserve">Etats-Unis : hécatombe dans les grands magasins  .  Le parking vide du magasin J.C. Penney, dans le centre commercial de Woodbridge (New Jersey), le 21 </t>
  </si>
  <si>
    <t>L'accord de libre-échange avec la Chine et la Corée du Sud se précise  .  Le gouvernement sud-coréen espère que le traité, qui prévoit de supprimer une grande partie des droi</t>
  </si>
  <si>
    <t>CHN KOR</t>
  </si>
  <si>
    <t>L’Etat islamique revendique des séries d’attentats en Syrie et au Yémen  .  Sept voitures piégées ont explosé dans deux fiefs du régime syrien, et un double attentat a visé les</t>
  </si>
  <si>
    <t>La Turquie peaufine son accord avec les Etats-Unis dans la guerre contre l’EI  .  La coalition menée par Washington devrait « prochainement » utiliser des bases aériennes turques pou</t>
  </si>
  <si>
    <t>Cuba accusée de cacher ses mendiants avant la visite du pape François  .  Le pape sera samedi à La Havane, pour quatre jours de visite symbolique. Les Etats-Unis ont par aill</t>
  </si>
  <si>
    <t>Le Bangladesh demande à la Birmanie de réadmettre les réfugiés rohingya  .  Le Bangladesh, pays parmi les plus pauvres de la planète, est submergé par l’arrivée de 420 000 réfu</t>
  </si>
  <si>
    <t>La Syrie accuse Israël d'avoir mené deux raids près de Damas  .  Selon la télévision officielle syrienne, Israël aurait mené deux raids contre des régions tenues par</t>
  </si>
  <si>
    <t>Migrants : 40 morts en une semaine au large de la Libye  .  De nouveaux naufrages entre la Libye et l’Italie ont alourdi le bilan de migrants morts en mer.</t>
  </si>
  <si>
    <t>Le retour d’enfants de djihadistes, un problème politique en Tunisie  .  Une centaine de Tunisiennes et près de 200 enfants seraient détenus entre la Syrie, l’Iraq et la Lib</t>
  </si>
  <si>
    <t>TUN SYR</t>
  </si>
  <si>
    <t>Ukraine : l’ambassadrice américaine à l’ONU dénonce l’attitude de Moscou  .  Samantha Power s’en est violemment pris à la Russie en dénonçant ses « mensonges » et son hypocrisie</t>
  </si>
  <si>
    <t>Pour la Russie, « ce n'est pas le bon moment » pour une résolution humanitaire en Syrie  .  La Russie estime que « ce n'est pas le bon moment » de discuter au Conseil de sécurité de l'ONU d'un</t>
  </si>
  <si>
    <t>Maduro annonce la reprise du dialogue entre le Venezuela et les Etats-Unis  .  Le président du pays latino-américain a fait cette annonce, mardi 14 juin, après une rencontre entre</t>
  </si>
  <si>
    <t>Libye : combats autour de l'aéroport de Tripoli  .  Ces combats interviennent alors que les Etats-Unis craignent que la Libye ne sombre dans l'anarchie.</t>
  </si>
  <si>
    <t xml:space="preserve">Euro 2016 : La Suisse ouvre le score face à l’Albanie (0-1)  .  Adversaires de l’équipe de France dans le groupe A de l’Euro 2016, Albanais et Suisses s’affrontent </t>
  </si>
  <si>
    <t>CHE ALB</t>
  </si>
  <si>
    <t>De l’Espagne à la Suède, l’Europe traverse sa première vague de chaleur de l’été  .  La France connait son premier pic de chaleur cette semaine avec des températures parfois supérieures</t>
  </si>
  <si>
    <t>ESP SWE</t>
  </si>
  <si>
    <t>Etats-Unis : la Chambre vote de limiter les pouvoirs militaires de Trump en Iran  .  La Chambre des représentants, contrôlée par les démocrates, a adopté jeudi une résolution pour limit</t>
  </si>
  <si>
    <t>Les Etats-Unis ferment l'ambassade de Syrie  .  John Kerry a justifié cette décision par « l'illégitimité si évidente du régime » Assad.</t>
  </si>
  <si>
    <t>Nouveau bras de fer entre Malte et l’Italie sur le sort de 450 migrants  .  Le président du conseil italien Giuseppe Conte refuse à deux navires militaires, qui ont secouru, ve</t>
  </si>
  <si>
    <t>MLT ITA</t>
  </si>
  <si>
    <t>Tempête en Israël après l’annulation du match de football contre l’Argentine  .  La Fédération israélienne de football compte déposer une plainte auprès de la FIFA contre la Fédérat</t>
  </si>
  <si>
    <t>Migrants : un premier demandeur d’asile syrien expulsé vers la Turquie  .  Les services grecs ont jugé que ce Syrien de 46 ans se disant homosexuel n’était pas menacé à Istanb</t>
  </si>
  <si>
    <t>Angela Merkel ferme la porte à un élargissement de l’UE avant le sommet de Riga  .  Angela Merkel a douché tout espoir d'adhésion de l'Ukraine, de la Moldavie et de la Géorgie, en ouve</t>
  </si>
  <si>
    <t>UKR MDA</t>
  </si>
  <si>
    <t>Football : l’Islande, invitée surprise de l’Euro 2016  .  Les Pays-Bas, place forte du football continental, pourraient être les grands absents de la compétit</t>
  </si>
  <si>
    <t>ISL NLD</t>
  </si>
  <si>
    <t>Open d’Australie : Roger Federer, roi normal  .  Le Suisse tentera de décrocher un vingtième titre du Grand Chelem face à Marin Cilic, dimanche 28 ja</t>
  </si>
  <si>
    <t>AUS CHE</t>
  </si>
  <si>
    <t xml:space="preserve">Euro 2016 : suivez en direct le choc Italie-Espagne  .  L’Espagne, double championne d’Europe en titre, affronte l’Italie en huitièmes de finale, remake de </t>
  </si>
  <si>
    <t xml:space="preserve">Toys’R’Us près de disparaître aux Etats-Unis et au Royaume-Uni, 35 000 salariés menacés  .  </t>
  </si>
  <si>
    <t>Guinée équatoriale : la justice suisse saisit 11 véhicules de luxe de Teodorin Obiang  .  Le fils du président équato-guinéen et vice-président est poursuivi par le parquet genevois pour « b</t>
  </si>
  <si>
    <t>GNQ CHE</t>
  </si>
  <si>
    <t xml:space="preserve">Affaire Skripal : Russie et Royaume-Uni s’accusent devant l’OIAC  .  Dans une ambiance tendue, Moscou a échoué à convaincre l’organisation de l’impliquer dans l’enquête </t>
  </si>
  <si>
    <t>L’Iran ébranlé par l’attentat meurtrier d’Ahvaz  .  Téhéran s’en prend aux Etats-Unis et à leurs alliés régionaux après l’attaque de samedi, dont l’orig</t>
  </si>
  <si>
    <t>Le Groenland, dernier caprice de Donald Trump  .  Le président américain a annulé à la dernière minute sa visite au Danemark après le refus du pays de</t>
  </si>
  <si>
    <t>GRL DNK</t>
  </si>
  <si>
    <t>Les nouvelles routes d’approvisionnement de l’industrie textile  .  De nouveaux fournisseurs, comme le Kenya et la Moldavie, montent en puissance, portés par des facili</t>
  </si>
  <si>
    <t>KEN MDA</t>
  </si>
  <si>
    <t>Fidel Castro réclame des « millions de dollars » aux Etats-Unis en compensation de l’embargo  .  Les déclarations de Fidel Castro interviennent la veille d’une visite historique à Cuba de John Kerr</t>
  </si>
  <si>
    <t xml:space="preserve">Vers une nouvelle « bande de Gaza » à Idlib en Syrie  .  La zone d'Idlib, encerclée par le régime Assad et régulièrement bombardée, pourrait devenir pour la </t>
  </si>
  <si>
    <t>PSE SYR</t>
  </si>
  <si>
    <t xml:space="preserve">CAN 2019 : l’Egypte tombe de haut, éliminée chez elle dès les huitièmes de finale  .  Les Phararons se sont inclinés face à l’Afrique du Sud (1-0) sur un but encaissé dans les dernières </t>
  </si>
  <si>
    <t>EGY ZAF</t>
  </si>
  <si>
    <t>Comment les lois homophobes nuisent à l'économie de l'Ouganda  .  Selon les Etats-Unis, principal partenaire économique du pays, ces lois « rongent » la croissance éc</t>
  </si>
  <si>
    <t>Afghanistan : les Etats-Unis regrettent la libération de 65 prisonniers « dangereux »  .  Les autorités afghanes ont libéré jeudi 65 combattants talibans présumés écroués dans la prison de B</t>
  </si>
  <si>
    <t>Au Qatar, la possibilité d’une île  .  Après avoir rompu ses relations économiques et diplomatiques avec l’émirat, l’Arabie saoudite menace</t>
  </si>
  <si>
    <t>QAT SAU</t>
  </si>
  <si>
    <t>L'Egypte accusé d'expulser des réfugiés vers la Syrie  .  L'ONG accuse l'Egypte d'arrêter et d'expulser des centaines de réfugiés, dénonçant le placement d'en</t>
  </si>
  <si>
    <t>A Banki, au nord du Nigeria, les déplacés de Boko Haram toujours plus affamés  .  Dans la ville fantôme à la frontière du Cameroun, 20 000 déplacés tentent de survivre dans le seul q</t>
  </si>
  <si>
    <t>NGA CMR</t>
  </si>
  <si>
    <t>Coupe du monde de rugby : les Tonga privent la Namibie du premier point de son histoire  .  L’équipe du Pacifique s’est imposée 35-21 face aux Africains, qui sont passés à quelques centimètres</t>
  </si>
  <si>
    <t>TON NAM</t>
  </si>
  <si>
    <t xml:space="preserve">« Mavi-Marmara », l'affaire qui a consommé la rupture entre Israël et la Turquie  .  </t>
  </si>
  <si>
    <t>ISR TUR</t>
  </si>
  <si>
    <t>La Russie refuse de donner une explication à la présence de ses militaires au Venezuela  .  Une centaine de « spécialistes russes » sont sur place depuis le début de la semaine, ce qui exaspèr</t>
  </si>
  <si>
    <t xml:space="preserve">La Turquie a du mal à retenir les réfugiés venus de Syrie  .  </t>
  </si>
  <si>
    <t xml:space="preserve">Crise du Golfe : le Qatar refuse l’ultimatum de l’Arabie saoudite et ses alliés  .  Le royaume wahhabite et ses alliés avaient donné jusqu’à mercredi à Doha pour se conformer à treize </t>
  </si>
  <si>
    <t>Au Cameroun, l’arrestation de Maurice Kamto inquiète l’opposition  .  Le candidat malheureux à la présidentielle d’octobre 2018 revendique toujours sa victoire. Plusieurs</t>
  </si>
  <si>
    <t>CMR MUS</t>
  </si>
  <si>
    <t>Vote à l'ONU sur une résolution palestinienne rejetée par Washington  .  Les Etats-Unis, proches alliés d'Israël et membres permanents du Conseil, ont d'ores et déjà annoncé</t>
  </si>
  <si>
    <t xml:space="preserve">« Paradise Papers » : l’argent suspect de l’Angola a trouvé asile à l’île Maurice  .  </t>
  </si>
  <si>
    <t>AGO MUS</t>
  </si>
  <si>
    <t>Les Etats-Unis envisagent « d'agir » contre l'Etat islamique en Syrie en cas de menace  .  Selon le « Washington Post », l'administration américaine étudie « une série d'options » afin de pou</t>
  </si>
  <si>
    <t>Israël-Palestine : Kerry vise un accord d'ici à neuf mois  .  Les négociateurs israéliens et palestiniens se retrouveront dans deux semaines, au Proche-Orient, po</t>
  </si>
  <si>
    <t>En Syrie, les familles de prisonniers face au virus du silence  .  Des familles de disparus syriens réfugiées à Antakya (Turquie), en mars 2019.</t>
  </si>
  <si>
    <t>Mexique : manifestation d'enseignants devant des ambassades  .  Plus d'un millier d'enseignants ont manifesté mardi à Mexico devant les ambassades des Etats-Unis, d</t>
  </si>
  <si>
    <t>La CEDH condamne la France pour l’expulsion de deux enfants de Mayotte vers les Comores  .  La France devra verser 22 500 euros pour dommage moral aux deux enfants et à leur père.</t>
  </si>
  <si>
    <t>Au Venezuela, une monnaie virtuelle contre le blocus financier des Etats-Unis  .  Face à une crise économique sans précédent, le Venezuela annonce la création d’une « devise cryptogr</t>
  </si>
  <si>
    <t>Coupe du monde de basket 2019 : suivez France - Allemagne, l’entrée en lice des Bleus, en direct  .  L’équipe de France de basket démarre, ce dimanche, le Mondial en Chine, en affrontant l’Allemagne, q</t>
  </si>
  <si>
    <t>Euro 2016 : l’Irlande dans l’enfer des Diables rouges  .  Les Belges se sont spectaculairement rattrapés de leur défaite inaugurale face à l’Italie en inflige</t>
  </si>
  <si>
    <t>IRL ITA</t>
  </si>
  <si>
    <t xml:space="preserve">La France ne veut pas le retour des djihadistes capturés en Syrie et en Irak  .  </t>
  </si>
  <si>
    <t>Ecoutes de la NSA : l'ambassadeur des Etats-Unis au Brésil convoqué  .  Le représentant de l'Etat américain doit s'expliquer sur l'espionnage par les Etats-Unis de communic</t>
  </si>
  <si>
    <t>Etats-Unis : premier test de missile de portée intermédiaire depuis la guerre froide  .  La Russie et les Etats-Unis sont sortis récemment du traité sur les forces nucléaires à portée inter</t>
  </si>
  <si>
    <t>Migrants : la Suède supprime les contrôles d’identité systématiques à sa frontière avec le Danemark  .  Ces contrôles paraissaient de moins en moins justifiés depuis que le flux de demandeurs d’asile s’ét</t>
  </si>
  <si>
    <t>SWE DNK</t>
  </si>
  <si>
    <t>L’Arabie saoudite reconnaît une bavure qui a coûté la vie à 140 personnes au Yémen  .  Après avoir nié toute responsabilité, la coalition saoudienne a reconnu qu’un bombardement visant de</t>
  </si>
  <si>
    <t>Pourquoi la tension monte entre l’Inde et le Pakistan  .  Malgré les appels à la retenue de la communauté internationale, les deux pays sont de nouveau pris d</t>
  </si>
  <si>
    <t>Les démocrates l'emportent sur les monarchistes au Bhoutan  .  Le petit royaume himalayen s'enfonce dans la crise économique en raison de tensions avec l'Inde, son</t>
  </si>
  <si>
    <t>BTN IND</t>
  </si>
  <si>
    <t xml:space="preserve">Pologne-Portugal : partie d’échecs ou réveil des buteurs ?  .  A Marseille, le premier quart de finale de l’Euro s’annonce fermé malgré la présence des attaquants </t>
  </si>
  <si>
    <t>POL PRT</t>
  </si>
  <si>
    <t>Pétrole : le coronavirus, acteur d’un effondrement  .  Dans le sillage de l’épidémie qui a fait chuter la demande pétrolière en Chine, l’Arabie saoudite et</t>
  </si>
  <si>
    <t>CHN SAU</t>
  </si>
  <si>
    <t xml:space="preserve">France - Jordanie en direct : suivez le second match des Bleus à la Coupe du monde de basket 2019  .  Après sa victoire contre l’Allemagne lors du premier match, l’équipe de France de basket de Nicolas </t>
  </si>
  <si>
    <t>JOR DEU</t>
  </si>
  <si>
    <t xml:space="preserve">En pleine crise politique, le Venezuela reprend langue avec les Etats-Unis  .  L’assemblée générale de l’Organisation des Etats américains a été l’occasion de mettre sur la table </t>
  </si>
  <si>
    <t>Les frappes ciblées contre des djihadistes britanniques en Syrie sont-elles légales ?  .  Le premier ministre du Royaume-Uni, David Cameron, a annoncé que l’armée avait tué, lors d’un raid f</t>
  </si>
  <si>
    <t>Pourquoi la Russie continue de soutenir la Syrie  .  Quelles raisons poussent Vladimir Poutine à soutenir sans faille le régime de Bachar Al-Assad ? Peut</t>
  </si>
  <si>
    <t>« Dans un scénario du pire, la Chine pourrait intervenir militairement contre la Corée du Nord »  .  Dans une tribune au « Monde », le spécialiste en relations internationales Boris Toucas constate une</t>
  </si>
  <si>
    <t>Israël et la Hongrie s’allient contre le philanthrope George Soros  .  George Soros, désigné comme ennemi par Viktor Orban, soutient également des personnalités israélienn</t>
  </si>
  <si>
    <t>ISR HUN</t>
  </si>
  <si>
    <t>Une série d’attentats à la bombe sème le trouble à Gaza  .  La bande de Gaza est le théâtre depuis la fin de la guerre avec Israël en juillet-août 2014 d’une co</t>
  </si>
  <si>
    <t>La justice bloque l'extradition de l'oligarque Abliazov  .  L'opposant kazakh est réclamé par l'Ukraine et la Russie, qui l'accusent de fraude massive.</t>
  </si>
  <si>
    <t>La gazette de la CAN : l’Égypte en forme, Balotelli soutient le Ghana et la piscine d’Oyem  .  Mercredi, malgré les encouragements de Balotelli aux Black Stars, les Égyptiens ont dominé les Ghané</t>
  </si>
  <si>
    <t>EGY GHA</t>
  </si>
  <si>
    <t>L’Allemagne a remis un suspect lié aux attentats de 2015 à la Belgique  .  Un Bosnien de 39 ans est soupçonné d’avoir fourni des armes aux terroristes qui ont notamment visé l</t>
  </si>
  <si>
    <t>DEU BEL</t>
  </si>
  <si>
    <t>Emmanuel Macron en Russie : et l’Ukraine s’invita au Forum économique de Saint-Pétersbourg...  .  Les sanctions américaines sont, elles, restées absentes des échanges, vendredi, entre le président f</t>
  </si>
  <si>
    <t xml:space="preserve">A la frontière thaïlandaise, la zone de Preah Vihear attribuée au Cambodge  .  Dans cette zone frontalière que se disputent la Thaïlande et le Cambodge, des affrontements avaient </t>
  </si>
  <si>
    <t>KHM THA</t>
  </si>
  <si>
    <t>L’utilisation périlleuse d’Israël par Donald Trump  .  Le président des Etats-Unis a suscité le malaise après ses propos sur la « déloyauté » des juifs amé</t>
  </si>
  <si>
    <t>Allemagne : deux hommes soupçonnés de préparer un attentat arrêtés  .  Deux frères originaires du Kosovo ont été interpellés près d’Essen. Ils visaient un centre commercia</t>
  </si>
  <si>
    <t>DEU KOS</t>
  </si>
  <si>
    <t xml:space="preserve">Devant l'ONU, Obama se veut ferme sur la Syrie et ouvert sur l'Iran  .  Le président américain s'est dit "convaincu que la voie diplomatique mérite d'être essayée" avec le </t>
  </si>
  <si>
    <t>SYR IRN</t>
  </si>
  <si>
    <t>Etats-Unis et Russie évoquent la présence de leurs avions respectifs dans le ciel syrien  .  Le ministre de la défense américain a appelé son homologue russe vendredi, après que la Russie a dép</t>
  </si>
  <si>
    <t>Le « je t’aime… moi non plus » entre Donald Trump et la Corée du Nord  .  Après avoir été annulée ce week-end, une rencontre entre la Corée du Nord et les Etats-Unis, le 12 j</t>
  </si>
  <si>
    <t>Faites vos pronostics pour les demi-finales de la Coupe du monde 2018  .  Qui, parmi la France, la Belgique, l’Angleterre et la Croatie, atteindra la finale du Mondial 2018 e</t>
  </si>
  <si>
    <t>BEL HRV</t>
  </si>
  <si>
    <t xml:space="preserve">Attaque chimique en Syrie : la Russie dit avoir "des preuves" de l'implication des rebelles  .  Moscou a affirmé avoir "des preuves" de l'implication des rebelles et a dénoncé un rapport de l'ONU </t>
  </si>
  <si>
    <t>KAZ</t>
  </si>
  <si>
    <t>BIH</t>
  </si>
  <si>
    <t xml:space="preserve">Michel Platini fermato in Francia: "Corruzione per i Mondiali in Qatar"  .   L'ex asso della Juventus e presidente Uefa dal 2007 al 2016, sarebbe in stato di fermo a Nanterre. </t>
  </si>
  <si>
    <t>Il deserto, le prigioni in Libia, il barcone: il viaggio di Hardi a Bologna. "Col decreto Salvini che futuro avremo?"  .   Hardi, che oggi compie 19 anni, viene da Kololo, un villaggio del Gambia. È sbarcato a Pozzallo a 1</t>
  </si>
  <si>
    <t>Pink Floyd 'riuniti', ma solo contro Israele: appoggiano le donne della Gaza Freedom Flotilla  .   David Gilmour, Roger Waters e Nick Mason hanno postato sulla pagina Facebook del gruppo un messaggi</t>
  </si>
  <si>
    <t>Calcio, Marta ko: il Brasile femminile perde in semifinale  .   Le carioca sconfitte ari rigori dalla Svezia dopo lo 0-0 dei tempi regolamentari: decisivi gli erro</t>
  </si>
  <si>
    <t xml:space="preserve">Bufera doping, Londra attacca: "La Fifa tolga il Mondiale alla Russia"  .   Il sottosegretario allo Sport del Regno Unito: "Non possono garantire credibilità". Dal canto suo, </t>
  </si>
  <si>
    <t>I cinque motivi per credere nella Ue  .  Come la Francia, la Germania oggi vuole progredire verso un'Unione economicamente e politicamente so</t>
  </si>
  <si>
    <t>Mondiali femminili, la finale sarà ancora Usa-Giappone  .   Un autogol in pieno recupero condanna le Leonesse, che ora si giocheranno il terzo posto con la Ger</t>
  </si>
  <si>
    <t>Fca, numero uno negli Usa per richiami  .   Il gruppo con sede in Olanda ha richiamato 6 milioni di auovetture, il triplo di Ford che è al seco</t>
  </si>
  <si>
    <t>Crescere i figli? Svezia e a Singapore al top. L'Italia sempre più giù  .   Nel rapporto della HSBC il nostro Paese si colloca al 32esimo posto e perde sei posizioni in un ann</t>
  </si>
  <si>
    <t>Coppa d'Africa, i fratelli Ayew portano il Ghana in semifinale  .   Prima Jordan, poi Andrè piegano la Repubblica Democratica del Congo, rivelazione del torneo. I leop</t>
  </si>
  <si>
    <t>G7, spiragli sui dazi: tra Europa e Trump prove di dialogo  .   Dopo la spaccatura tra Ue e Stati Uniti sulla Russia, si tenta una mediazione per non fallire il ve</t>
  </si>
  <si>
    <t xml:space="preserve">Francia, Saint-Etienne: la vetta sfuma dal dischetto. Il Monaco si sblocca: decide Falcao  .   I verdi sbagliano un rigore con il Rennes: finisce 0-0 ed ora in testa alla classifica c'è solo il </t>
  </si>
  <si>
    <t>Le Borse recuperano dopo le tensioni. Rallenta la produzione industriale Ue  .   I mercati hanno chiuso una settimana difficile in scia alle minacce tra Usa e Corea del Nord e oggi</t>
  </si>
  <si>
    <t>Banche Ue alla prova stress test: il buco potenziale è da 1000 mld  .   A rischiare sono soprattutto gli istituti di Francia e Germania, ma molto dipenderà dai parametri c</t>
  </si>
  <si>
    <t>Venezuela, profughi:  i paesi latino-americani concordano una strategia per la loro integrazione  .   La Strategia adottata durante la IV Riunione Tecnica del "Processo di Quito", tenutasi a Buenos Air</t>
  </si>
  <si>
    <t>Bangladesh, torturate e ridotte in schiavitù: la fuga delle domestiche dall’Arabia Saudita  .   Il numero delle migranti rientrate dall’inizio dell’anno sale a 382. Lo scorso anno sono state oltr</t>
  </si>
  <si>
    <t>Isis, in un video il colpo di grazia a un soldato Usa in Niger  .  Le immagini furono riprese dalla microcamera installata sull'elmetto di uno dei quattro militari ame</t>
  </si>
  <si>
    <t>Atletica, Mondiali indoor: Lavillenie e Suhr oro nell'asta  .   La prima giornata della rassegna iridata è nel segno di Francia e Stati Uniti</t>
  </si>
  <si>
    <t>Basket, Europei donne: l'Italia batte la Polonia e resta in corsa  .   Le azzurre si impongono 66-55. La prossima gara contro la Turchia sarà ora decisiva per l'accesso a</t>
  </si>
  <si>
    <t>Biden a Davos: "Russia minaccia l'ordine mondiale. Nato è bastione, Usa non possono metterla in dubbio"  .  A due giorni dall'uscita di scena del 20 gennaio, il vice di Obama lancia il monito dal World Econom</t>
  </si>
  <si>
    <t xml:space="preserve">La bussola segreta delle Monarca e le farfalle volano per 4000 km  .   Migrano dal Canada al Messico. Nelle antenne e negli occhi il "gps" che le fa orientare e le porta </t>
  </si>
  <si>
    <t xml:space="preserve">Angola, incombe la minaccia della febbre gialla: già 260 vittime  .   Dopo la conferma di decine di casi in Repubblica Democratica del Congo (RDC), le équipe di  Medici </t>
  </si>
  <si>
    <t xml:space="preserve">Rientrati in Usa i tre ex ostaggi della Nord Corea. Trump: "Kim Jong-un è stato eccellente"  .   </t>
  </si>
  <si>
    <t xml:space="preserve">Francia, caos a Calais: migranti tentano di salire su tir verso Gran Bretagna  .  </t>
  </si>
  <si>
    <t>Il Venezuela come l’Argentina di Videla, torture e violenze nelle carceri segrete  .   L’allarme per le continue violazioni dei diritti umani nelle celle della polizia segreta del Sebin,</t>
  </si>
  <si>
    <t>Brasile, la nuova frontiera di Adriano: riparte dagli Usa come azionista-giocatore  .   L'Imperatore è vicinissimo all'acquisto del 40% del Miami United, franchigia statunitense che milit</t>
  </si>
  <si>
    <t>In Venezuela il mercato nero del dollaro batte la prostituzione  .  La valuta Usa scarseggia sempre di più e la moneta locale si continua a svalutare: slo chi ha contat</t>
  </si>
  <si>
    <t>Usa, Trump avverte il Messico: "Pronto a mandare l'esercito per fermare i 'bad hombres'"  .   L'Associated Press e la Cnn rendono note due trascrizioni della telefonata di venerdì tra il capo d</t>
  </si>
  <si>
    <t>Petrolio, l'Opec non è più in grado di proteggere prezzo  .   Il ministro dell'Energia degli Emirati arabi uniti esclude una nuova riunione del cartello prima di</t>
  </si>
  <si>
    <t>Israele, effetto Trump. Netanyahu annuncia:  2500 alloggi in Cisgiordania  .  Il premier e il ministro 'falco' Lieberman: "Continueremo a costruire in Giudea e Samaria". "Provoca</t>
  </si>
  <si>
    <t>Coronavirus: morto Ahmed Radhi, leggenda del calcio iracheno  .   Aveva 56 anni, nel 1986 contro il Belgio firmò quello che finora è l'unico gol segnato dall'Iraq in</t>
  </si>
  <si>
    <t>Himalaya, si riaccendono le tensioni tra India e Cina nel Ladakh  .  Delhi denuncia: 5 mila uomini dell'esercito popolare di liberazione sono entrati nel territorio cont</t>
  </si>
  <si>
    <t>Argentina, la delusione di Messi: ''Sono distrutto''  .   La Pulce sulla sconfitta nella finale con la Germania: ''Avremmo meritato di più, le occasioni da g</t>
  </si>
  <si>
    <t xml:space="preserve">Huawei: arrestata in Canada Meng Wanzhou, direttrice finanziaria e figlia del fondatore. La Cina ne chiede la liberazione  .  </t>
  </si>
  <si>
    <t>Coppa d'Africa, Ghana ai quarti di misura: Gyan batte il Mali  .   Il gol del centravanti e la parate di Razak lanciano le Blacks Stars alla fase a eliminazione diret</t>
  </si>
  <si>
    <t>La Cina svaluta lo yuan, pesanti i listini Ue con la tensione in Corea del Nord  .   Nuova mossa a sorpresa della Banca centrale cinese. Le Autorità introdurranno nuovi blocchi alla ve</t>
  </si>
  <si>
    <t>Coppa America: Brasile-Ecuador, deludente 0-0  .   Per i tifosi brasiliani la "colpa" è stata l'assenza di Neymar, in tribuna a farsi selfie con Justi</t>
  </si>
  <si>
    <t>Migranti, Amnesty International accusa Italia, Malta e Europa: "Collusi con la Libia"  .  In un rapporto di 27 pagine sostiene che fra giugno e luglio sono morte 721 persone in mare e sono p</t>
  </si>
  <si>
    <t>Solo chiamate e sms col cellulare per 47% degli utenti mondiali  .   Dagli Usa alla Francia, in diversi paesi i piani tariffari con messaggini illimitati li rendono più</t>
  </si>
  <si>
    <t>Trump mette nel mirino il Giappone. Borse deboli, lavoro Usa sopra le attese  .   In Asia si chiude la peggior settimana da marzo, Tokyo perde lo 0,8 per cento. Spread sotto 265 pun</t>
  </si>
  <si>
    <t>Usa, media: Trump rinuncia per ora alla visita in Gran Bretagna  .  Lo riferisce il Guardian. Un consigliere di Downing Street sarebbe stato presente alla conversazione</t>
  </si>
  <si>
    <t>Colombia, il piano di riconversione della cocaina non funziona. E la domanda di Usa ed Europa cresce  .  Sono pochi i contadini che hanno accettato di sradicare le proprie colture a foglie di coca in cambi</t>
  </si>
  <si>
    <t>Corea del Nord, Kim Jong-un fa giustiziare i negoziatori del fallito vertice di Hanoi con Trump  .   Secondo il quotidiano della Corea del Sud,  Chosun Ilbo , l'esecuzione di Kim Hyok Chol, rappresent</t>
  </si>
  <si>
    <t>Messico, missione a Matamoros, con 700 bambini e adolescenti migranti al confine con gli USA  .   Nella città nello Stato di Tamaulipas lungo la sponda destra del Rio Grande. L'UNICEF cerca di fare</t>
  </si>
  <si>
    <t xml:space="preserve">Migranti, emergenza in Germania: invasa la stazione ferroviaria di Monaco  .  </t>
  </si>
  <si>
    <t>Usa, morto padre Berrigan: in prima fila contro la guerra in Vietnam  .   Sacerdote gesuita e poeta, aveva 94 anni e negli anni Sessanta era diventato un leader del moviment</t>
  </si>
  <si>
    <t xml:space="preserve">Iraq, contractor ucciso e dei soldati feriti in un attacco ad una base Usa  .  La nciati una trentina di missili. Gli americani puntano il dito contro le milizie sciite sostenute </t>
  </si>
  <si>
    <t>Coppa America, il Paraguay batte il Brasile ai rigori e va in semifinale  .   Nazionale verdeoro in vantaggio con Robinho al 15' del primo tempo, pareggio di Gonzalez al 72'. Po</t>
  </si>
  <si>
    <t xml:space="preserve">Brasile 2014, stasera il via con Brasile - Croazia: tutti gli appuntamenti  .   </t>
  </si>
  <si>
    <t>Borse ottimiste sui negoziati Usa-Cina. Cala ancora l'industria nell'Eurozona  .   I forti rialzi di ieri sera a Wall Street hanno messo di buon umore sia la Borsa di Tokyo (+1,3% ai</t>
  </si>
  <si>
    <t xml:space="preserve">Coppa Davis, Djokovic batte Berdych: Serbia-Repubblica ceca si deciderà al quinto in contro  .   Il numero 2 del mondo piega il ceco 6-4, 7-6 (7-5), 6-2 e porta i serbi sul 2-2. Tutto ora è nelle </t>
  </si>
  <si>
    <t>Un traghetto per le bici tra la Danimarca e la Svezia  .   Un’imbarcazione d’epoca collegherà da giugno ad agosto la cittadina danese di Dragør, vicino a Cope</t>
  </si>
  <si>
    <t xml:space="preserve">Operazione antidroga tra Italia, Usa e Colombia: arresti e sequestri  .   </t>
  </si>
  <si>
    <t xml:space="preserve">Basket, Mondiali: il Messico non crea problemi, Stati Uniti ai quarti  .   Il quintetto a stelle e strisce supera agevolmente gli ottavi imponendosi per 86-63. Stephen Curry </t>
  </si>
  <si>
    <t>Anniversario repubblica cinese, sfilano soldati, tank e missili. E Hong Kong protesta  .   La Cina celebra il 70esimo anniversario della Fondazione della Repubblica popolare con una parata m</t>
  </si>
  <si>
    <t>Perisic lancia la Croazia, agli ottavi sarà Italia-Spagna  .   Un gol nel finale dell'attaccante dell'Inter permette agli uomini di Cacic di battere i campioni d'</t>
  </si>
  <si>
    <t>Regno Unito, Corbyn lancia la "sua" Brexit e spacca i Tories. Il governo May ora rischia  .  Il leader laburista impugna l'esempio della Turchia per proporre una Gran Bretagna dentro "un'unione</t>
  </si>
  <si>
    <t>Usa, l'uragano Dorian punta sulla Florida.Trump rinvia il suo viaggio in Polonia: "Mettetevi al sicuro"  .   Catalogato come categoria 4, potrebbe arrivare già sabato notte. Dichiarato lo stato di emergenza i</t>
  </si>
  <si>
    <t>Qualificazioni Euro2016, il Tas dà ragione all'Albania: Serbia ko a tavolino  .   Il Tribunale arbitrale dello Sport ha deciso di ribaltare la decisione dell'Uefa (sconfitta 3-0 per</t>
  </si>
  <si>
    <t xml:space="preserve">Dazi, nuovo braccio di ferro Usa-Cina: Trump impone tasse su altri 200 miliardi di importazioni  .  Dopo le rappresaglie di Pechino, la Casa Bianca rincara la dose. E i mercati asiatici reagiscono al </t>
  </si>
  <si>
    <t>Grecia, Schaeuble scettico prima dell'Eurogruppo: "Governo irresponsabile"  .   Oggi la riunione a Bruxelles, Tsipras chiede più tempo per un nuovo accordo ma Berlino vuole restar</t>
  </si>
  <si>
    <t>Francia, il Monaco fa sul serio: 2-0 a Bordeaux e vola in testa  .   La squadra di Ranieri, tornata nella massima serie dopo due anni in Ligue2, approfitta del passo fa</t>
  </si>
  <si>
    <t>Migranti, ritornano le ong. La Sea Watch parte da Messina: "I soccorsi non possono fermarsi"  .   Malta stringe un patto con la Libia per riportare indietro i barconi. In 450 da oltre un mese fermi</t>
  </si>
  <si>
    <t>Francia, Monaco sciupone a Sochaux: Psg solo in testa  .   La squadra di Ranieri, in vantaggio di due reti all'intervallo, subisce una clamorosa rimonta e per</t>
  </si>
  <si>
    <t>Difetti tecnici e dubbi sulla privacy. Dal Giappone alla Francia le app contro il virus sono un flop  .   In Europa utilizzate solo al 10%. Meloni su Immuni: “Non la scaricate”  </t>
  </si>
  <si>
    <t xml:space="preserve">Migranti, Salvini: "Cambiare norme e fare della Libia un porto sicuro". E sulle sanzioni alla Russia: "Veto italiano è la soluzione finale"  .  </t>
  </si>
  <si>
    <t>Tumore al polmone: lo screening salva la vita  .   In Belgio e in Olanda, grazie a un programma di screening con Tac spirale a basso dosaggio di radia</t>
  </si>
  <si>
    <t xml:space="preserve">Usa-Iran, Khamenei: "Trump rivela il vero volto dell'America"  .  </t>
  </si>
  <si>
    <t>Francesco De Gregori al Bataclan per il tour estero, tra Italia, Europa, Usa e Canada  .   Il 'Principe' del nostro cantautorato tornerà a suonare dal vivo le sue canzoni (e quelle dell'amat</t>
  </si>
  <si>
    <t>Basket, Europei: trionfa la Francia. In finale battuta la Lituania  .   Storico successo per la nazionale transalpina che conquista il titolo continentale per la prima vol</t>
  </si>
  <si>
    <t xml:space="preserve">Coronavirus dalla Cina, cresce a 106 il numero dei morti. Tre nuovi casi in Germania  .  </t>
  </si>
  <si>
    <t>Brescia, 32enne scomparso da un anno tra Siria e Turchia: "Aiutatemi, sono prigioniero"  .  Alessandro Sandrini si è messo in contatto con la famiglia che non aveva più sue notizie da quando è</t>
  </si>
  <si>
    <t>Migranti, l'accusa di Strasburgo ai Paesi Ue: "Ricollocato un solo minore dei cinquemila approdati in Italia"  .   L'Europarlamento denuncia: trasferito solo l'undici per cento dei richiedenti: "Finlandia e Malta r</t>
  </si>
  <si>
    <t>Grecia, migliaia di adulti e bambini intrappolati sulle isole pagano il prezzo dell'accordo disumano UE-Turchia  .   La denuncia di Medici Senza Frontiere. "E' l'effetto di politiche disastrose: nuovo picco di arrivi</t>
  </si>
  <si>
    <t>Mercedes per Avis, continua la crescita  .   Anche in Spagna e Portogallo, Avis ha scelto i Van della casa di Stoccarda</t>
  </si>
  <si>
    <t>Cina, Delrio: "Italia Paese solido e affidabile, anche la Germania vota a settembre"  .   Il ministro delle Infrastrutture è in visita di Stato col Presidente Mattarella. "La democrazia pre</t>
  </si>
  <si>
    <t xml:space="preserve">Coronavirus, in Cina i morti sono 1.113, i contagi oltre 44 mila. Altri 39 casi sulla nave in Giappone  .  </t>
  </si>
  <si>
    <t>Coppa America, Uruguay shock: ko con Venezuela, è fuori dal Centenario  .   La Celeste senza Luis Suarez va sotto nel primo tempo contro i venezuelani, non riesce a recuperare</t>
  </si>
  <si>
    <t>Volley, Europei: Italia in finale con la Russia, battuta la Bulgaria  .   Gli azzurri di Berruto si impongono 3-1 in semifinale e domenica a Copenaghen affronteranno i campi</t>
  </si>
  <si>
    <t xml:space="preserve">Borse in calo sullo scontro commerciale Usa-Cina  .  Listini asiatici in flessione all'indomani di una nuova seduta in forte calo per Wall Street. Tokyo </t>
  </si>
  <si>
    <t>La Cina minaccia Trump sui dazi: "È guerra commerciale, pronti a rispondere"  .  Le misure restrittive Usa su acciaio e alluminio irritano Pechino: "Nell'epoca della globalizzazione</t>
  </si>
  <si>
    <t xml:space="preserve">Is, Siria: trovata fossa comune con 42 corpi. Raid in Iraq uccide capo armamenti Stato islamico  .   </t>
  </si>
  <si>
    <t xml:space="preserve">Russia, Capello non lascia: "Resto ct fino al 2018"  .   Nonostante il deludente Mondiale in Brasile, l'allenatore italiano continuerà la sua avventura con </t>
  </si>
  <si>
    <t>Brescia, ragazzina eritrea arrivata su un barcone dopo 2 anni riabbraccia il padre rifugiato in Svezia  .   Il lungo viaggio affrontato da sola, poi l'incontro in questura grazie alle ricerche attivate dall'</t>
  </si>
  <si>
    <t>Hakan Sukur, da stella della Turchia ad autista Uber negli Usa: ''Erdogan mi ha tolto tutto''  .   Duro sfogo del 48enne ex attaccante (in Italia ha giocato con Torino, Inter e Parma), costretto a e</t>
  </si>
  <si>
    <t>Amichevoli: l'Argentina sorride con Icardi-Dybala, vince Brasile ma Neymar si fa male  .   Gli attaccanti di Inter e Juve hanno firmato le reti con cui l'Albiceleste di Scaloni ha superato i</t>
  </si>
  <si>
    <t xml:space="preserve">Giappone: aiuti per 14 miliardi euro a stati sudest asiatico  In 5 anni, per rafforzare legami di fronte ascesa Cina  .  </t>
  </si>
  <si>
    <t>Messico: Un anno dopo i protocolli USA sulla migrazione, il bilancio per migliaia di persone è devastante  .   Il report di Medici Senza Frontiere. In 62.000 rimandati in Messico. A Matamoros, pochi passi dal c</t>
  </si>
  <si>
    <t>Europa, mercato auto in frenata con Germania e Regno Unito. Brilla Fca  .  Giugno si chiude con una crescita del 2,1%: in Gran Bretagna pesano le incertezze su Brexit e la nuo</t>
  </si>
  <si>
    <t>Il Senato approva il progetto per il maxi-gasdotto dell'Adriatico  .   L'Aula ha approvato l'intesa con Albania e Grecia per il gasdotto Trans Adriatic Pipeline, che tras</t>
  </si>
  <si>
    <t>Romania-Svizzera 1-1: Mehmedi risponde a Stancu  .   Finisce in parità al Parco dei Principi anche se gli elvetici avrebbero meritato qualcosa in più. N</t>
  </si>
  <si>
    <t xml:space="preserve">Usa, Trump autorizza l'uso della "forza letale" contro la carovana di migranti dal Messico  .  </t>
  </si>
  <si>
    <t>Corsa ai computer quantistici, l'Europa diventa modello  .   Paesi come Canada e Giappone guardano con interesse al nostro Continente dove esiste un programma d</t>
  </si>
  <si>
    <t>Il giallo dei verbali segreti Fmi: "Banche salve a spese della Grecia"  .   Il Wall Street Journal pubblica i documenti riservati della riunione del maggio 2010 in cui venne d</t>
  </si>
  <si>
    <t>Rugby, Mondiali: Nuova Zelanda sul velluto, ma la Namibia strappa applausi  .   Gli All Blacks vincono 71-9 una gara in equilibrio per 30', africani senza paura</t>
  </si>
  <si>
    <t>Microsoft Hololens disponibili, ma a caro prezzo  .   Il dispositivo solo per sviluppatori e clienti business in Usa e Canada. Si possono ordinare fino a</t>
  </si>
  <si>
    <t>Italia, con lo spread a 140 punti la Grecia è vicina e la Spagna si allontana. Borse deboli  .   Nonostante la quarta elezione in quattro anni, il decennale di Madrid rende meno dello 0,4% sul mer</t>
  </si>
  <si>
    <t>Al Bano ci ripensa: "Non voglio più ritirarmi". E tra i due vicepremier sceglie Salvini  .   Il cantante di Cellino San Marco, appena tornato da una mini tournée tra Cina e Russia, lo ha detto</t>
  </si>
  <si>
    <t>LBY GMB</t>
  </si>
  <si>
    <t>BRA SWE</t>
  </si>
  <si>
    <t>USA NLD</t>
  </si>
  <si>
    <t>SWE SGP</t>
  </si>
  <si>
    <t>GHA COD</t>
  </si>
  <si>
    <t>VEN REU</t>
  </si>
  <si>
    <t>BGD SAU</t>
  </si>
  <si>
    <t>USA NER</t>
  </si>
  <si>
    <t>POL TUR</t>
  </si>
  <si>
    <t>AGO COD</t>
  </si>
  <si>
    <t>ARE REU</t>
  </si>
  <si>
    <t>BEL IRQ</t>
  </si>
  <si>
    <t>ARG DEU</t>
  </si>
  <si>
    <t>GHA MLI</t>
  </si>
  <si>
    <t>MLT LBY</t>
  </si>
  <si>
    <t>SRB CZE</t>
  </si>
  <si>
    <t>DNK SWE</t>
  </si>
  <si>
    <t>USA COL</t>
  </si>
  <si>
    <t>GBR TUR</t>
  </si>
  <si>
    <t>LBY RUS</t>
  </si>
  <si>
    <t>BEL NLD</t>
  </si>
  <si>
    <t>FRA LTU</t>
  </si>
  <si>
    <t>FIN MLT</t>
  </si>
  <si>
    <t>URY VEN</t>
  </si>
  <si>
    <t>RUS BGR</t>
  </si>
  <si>
    <t>RUS BRA</t>
  </si>
  <si>
    <t>ERI SWE</t>
  </si>
  <si>
    <t>DEU GBR</t>
  </si>
  <si>
    <t>ALB GRC</t>
  </si>
  <si>
    <t>ROM CHE</t>
  </si>
  <si>
    <t>NZL NAM</t>
  </si>
  <si>
    <t>GRC ESP</t>
  </si>
  <si>
    <t xml:space="preserve">Michel Platini placé en garde à vue en France : « Corruption autour de la Coupe du monde au Qatar »  .   L'ancienne star de la Juventus et président de l'UEFA de 2007 à 2016 serait en garde à vue à Nanterre. </t>
  </si>
  <si>
    <t>Le désert, les prisons en Libye, le bateau : le périple d'Hardi jusqu'à Bologne. « Avec le décret Salvini, quel avenir nous attend ? »  .   Hardi, qui fête aujourd’hui ses 19 ans, vient de Kololo, un village de Gambie. Il a débarqué à Pozzallo le 1er</t>
  </si>
  <si>
    <t>Pink Floyd « réuni », mais uniquement contre Israël : ils soutiennent les femmes de la Flottille de la liberté pour Gaza  .   David Gilmour, Roger Waters et Nick Mason ont publié un message sur la page Facebook du groupe</t>
  </si>
  <si>
    <t>Football, Marta hors jeu : le Brésil féminin s'incline en demi-finale  .   Les Cariocas battues aux tirs au but par la Suède après un 0-0 à la fin du temps réglementaire : les erreurs ont été décisives</t>
  </si>
  <si>
    <t xml:space="preserve">Tempête dopage, Londres attaque : « Que la FIFA retire la Coupe du monde à la Russie »  .   Le sous-secrétaire d'État britannique aux Sports : « Ils ne peuvent pas garantir la crédibilité ». De son côté, </t>
  </si>
  <si>
    <t>Les cinq raisons de croire en l'UE  .  À l'instar de la France, l'Allemagne souhaite aujourd'hui progresser vers une Union économiquement et politiquement plus</t>
  </si>
  <si>
    <t>Coupe du monde féminine, la finale opposera à nouveau les États-Unis au Japon  .   Un but contre son camp dans le temps additionnel condamne les Lionnes, qui disputeront désormais la troisième place contre l'Allemagne</t>
  </si>
  <si>
    <t>FCA, numéro un aux États-Unis en matière de rappels  .   Le groupe basé aux Pays-Bas a rappelé 6 millions de voitures, soit le triple de Ford qui occupe la deuxième place</t>
  </si>
  <si>
    <t>Élever ses enfants ? La Suède et Singapour en tête. L'Italie toujours plus bas  .   Dans le rapport de la HSBC, notre pays se classe à la 32e place et perd six places en un an</t>
  </si>
  <si>
    <t>Coupe d'Afrique des nations, les frères Ayew mènent le Ghana en demi-finale  .   D'abord Jordan, puis André ont battu la République démocratique du Congo, la révélation du tournoi. Les Léopards</t>
  </si>
  <si>
    <t>G7, lueur d'espoir sur les droits de douane : entre l'Europe et Trump, des tentatives de dialogue  .   Après la rupture entre l'UE et les États-Unis sur la Russie, on tente une médiation pour ne pas faire échouer le ve</t>
  </si>
  <si>
    <t xml:space="preserve">France, Saint-Étienne : la tête du classement s'envole sur penalty. Monaco débloque la situation : Falcao fait la différence  .   Les Verts ratent un penalty contre Rennes : le match se termine sur un 0-0 et désormais, seul le </t>
  </si>
  <si>
    <t>Les marchés boursiers se redressent après les tensions. La production industrielle de l'UE ralentit  .   Les marchés ont clôturé une semaine difficile dans le sillage des menaces entre les États-Unis et la Corée du Nord et aujourd’hui</t>
  </si>
  <si>
    <t>Les banques de l’UE soumises aux tests de résistance : le trou potentiel s’élève à 1 000 milliards  .   Ce sont surtout les établissements français et allemands qui sont menacés, mais beaucoup dépendra des paramètres c</t>
  </si>
  <si>
    <t>Venezuela, réfugiés :  les pays d’Amérique latine s’accordent sur une stratégie pour leur intégration  .   La stratégie adoptée lors de la IVe réunion technique du « Processus de Quito », qui s’est tenue à Buenos Aires</t>
  </si>
  <si>
    <t>Bangladesh, torturées et réduites en esclavage : la fuite des employées de maison d’Arabie saoudite  .   Le nombre de migrantes rentrées depuis le début de l’année s’élève à 382. L’année dernière, elles étaient plus de</t>
  </si>
  <si>
    <t>Daech, dans une vidéo, le coup de grâce porté à un soldat américain au Niger  .  Les images ont été filmées par la microcaméra installée sur le casque de l'un des quatre militaires américains</t>
  </si>
  <si>
    <t>Athlétisme, Championnats du monde en salle : Lavillenie et Suhr remportent l'or au saut à la perche  .   La première journée des championnats du monde est placée sous le signe de la France et des États-Unis</t>
  </si>
  <si>
    <t>Basket, Championnats d'Europe féminins : l'Italie bat la Pologne et reste en lice  .   Les Italiennes s'imposent 66-55. Le prochain match contre la Turquie sera désormais décisif pour la qualification à</t>
  </si>
  <si>
    <t>Biden à Davos : « La Russie menace l'ordre mondial. L'OTAN est un rempart, les États-Unis ne peuvent pas la remettre en cause »  .  À deux jours de son départ le 20 janvier, le vice-président d'Obama lance cet avertissement depuis le Forum économique mondial</t>
  </si>
  <si>
    <t xml:space="preserve">La boussole secrète des monarques et des papillons qui parcourent 4 000 km  .   Ils migrent du Canada vers le Mexique. Dans leurs antennes et leurs yeux se trouve le « GPS » qui leur permet de s’orienter et les guide </t>
  </si>
  <si>
    <t xml:space="preserve">Angola, la menace de la fièvre jaune plane : déjà 260 victimes  .   Après la confirmation de dizaines de cas en République démocratique du Congo (RDC), les équipes de  Médecins </t>
  </si>
  <si>
    <t xml:space="preserve">Les trois anciens otages de Corée du Nord sont rentrés aux États-Unis. Trump : « Kim Jong-un a été excellent »  .   </t>
  </si>
  <si>
    <t>France, chaos à Calais : des migrants tentent de monter à bord de camions en direction de la Grande-Bretagne  .</t>
  </si>
  <si>
    <t>Le Venezuela comme l’Argentine de Videla, tortures et violences dans les prisons secrètes  .   L’alerte face aux violations constantes des droits de l’homme dans les cellules de la police secrète du Sebin,</t>
  </si>
  <si>
    <t>Brésil, la nouvelle frontière d’Adriano : il repart des États-Unis en tant qu’actionnaire-joueur  .   L’Empereur est sur le point d’acquérir 40 % du Miami United, franchise américaine qui évolue</t>
  </si>
  <si>
    <t>Au Venezuela, le marché noir du dollar devance la prostitution  .  La devise américaine se fait de plus en plus rare et la monnaie locale continue de se déprécier : seuls ceux qui ont des contacts</t>
  </si>
  <si>
    <t>États-Unis, Trump met en garde le Mexique : « Prêt à envoyer l'armée pour arrêter les « bad hombres » »  .   L'Associated Press et CNN publient deux transcriptions de l'appel téléphonique de vendredi entre le chef de</t>
  </si>
  <si>
    <t>Pétrole, l'OPEP n'est plus en mesure de protéger les prix  .   Le ministre de l'Énergie des Émirats arabes unis exclut une nouvelle réunion du cartel avant</t>
  </si>
  <si>
    <t>Israël, effet Trump. Netanyahu annonce :  2 500 logements en Cisjordanie  .  Le Premier ministre et le ministre « faucon » Lieberman : « Nous continuerons à construire en Judée-Samarie ». « Provocation</t>
  </si>
  <si>
    <t>Coronavirus : décès d'Ahmed Radhi, légende du football irakien  .   Il avait 56 ans ; en 1986, contre la Belgique, il avait inscrit ce qui reste à ce jour le seul but marqué par l'Irak en</t>
  </si>
  <si>
    <t>Himalaya, les tensions entre l'Inde et la Chine reprennent de plus belle au Ladakh  .  Delhi dénonce : 5 000 hommes de l'Armée populaire de libération ont pénétré sur le territoire cont</t>
  </si>
  <si>
    <t>Argentine, la déception de Messi : « Je suis anéanti »  .   La Pulga à propos de la défaite en finale contre l’Allemagne : « Nous aurions mérité mieux, les occasions de marquer... »</t>
  </si>
  <si>
    <t>L’euphorie autour de l’accord américano-chinois s’estompe, les marchés boursiers sont en baisse  .   Le spread reste stable sous la barre des 270 à l’approche de l’adjudication des BOT du Trésor. La forte baisse du pétrole se poursuit</t>
  </si>
  <si>
    <t xml:space="preserve">Huawei : Meng Wanzhou, directrice financière et fille du fondateur, a été arrêtée au Canada. La Chine demande sa libération  .  </t>
  </si>
  <si>
    <t>Coupe d'Afrique des nations, le Ghana se qualifie de justesse pour les quarts de finale : Gyan bat le Mali  .   Le but de l'attaquant et les arrêts de Razak propulsent les Black Stars en phase à élimination directe</t>
  </si>
  <si>
    <t>La Chine dévalue le yuan, les marchés européens plombés par les tensions en Corée du Nord  .   Nouvelle décision surprise de la Banque centrale chinoise. Les autorités vont introduire de nouvelles restrictions à la ve</t>
  </si>
  <si>
    <t>Coupe des Amériques : Brésil-Équateur, un 0-0 décevant  .   Pour les supporters brésiliens, la « faute » revient à l'absence de Neymar, dans les tribunes à prendre des selfies avec Justi</t>
  </si>
  <si>
    <t>Migrants : Amnesty International accuse l'Italie, Malte et l'Europe : « De mèche avec la Libye »  .  Dans un rapport de 27 pages, l'organisation affirme qu'entre juin et juillet, 721 personnes sont mortes en mer et ont été p</t>
  </si>
  <si>
    <t>Appels et SMS uniquement sur mobile pour 47 % des utilisateurs mondiaux  .   Des États-Unis à la France, dans plusieurs pays, les forfaits avec SMS illimités les rendent plus</t>
  </si>
  <si>
    <t>Trump vise le Japon. Bourses en baisse, emploi américain au-dessus des attentes  .   En Asie, on clôture la pire semaine depuis mars, Tokyo perd 0,8 %. Spread sous les 265 points</t>
  </si>
  <si>
    <t>États-Unis, médias : Trump renonce pour l'instant à sa visite en Grande-Bretagne  .  C'est ce que rapporte le Guardian. Un conseiller de Downing Street aurait assisté à la conversation</t>
  </si>
  <si>
    <t>Colombie : le plan de reconversion de la culture de la coca ne fonctionne pas. Et la demande des États-Unis et de l'Europe augmente  .  Peu d'agriculteurs ont accepté d'éradiquer leurs cultures de feuilles de coca en échange</t>
  </si>
  <si>
    <t>Corée du Nord : Kim Jong-un fait exécuter les négociateurs du sommet raté de Hanoï avec Trump  .   Selon le quotidien sud-coréen Chosun Ilbo, l'exécution de Kim Hyok Chol, représent</t>
  </si>
  <si>
    <t>Mexique, mission à Matamoros, avec 700 enfants et adolescents migrants à la frontière avec les États-Unis. Dans la ville de l'État de Tamaulipas, sur la rive droite du Rio Grande. L'UNICEF tente de</t>
  </si>
  <si>
    <t>Migrants, situation d'urgence en Allemagne : la gare de Munich prise d'assaut.</t>
  </si>
  <si>
    <t>États-Unis, décès du père Berrigan : en première ligne contre la guerre du Vietnam  .   Prêtre jésuite et poète, il avait 94 ans et était devenu dans les années 60 un leader du mouvement</t>
  </si>
  <si>
    <t xml:space="preserve">Irak, un sous-traitant tué et des soldats blessés lors d'une attaque contre une base américaine  .  Une trentaine de missiles ont été tirés. Les Américains pointent du doigt les milices chiites soutenues </t>
  </si>
  <si>
    <t>Coupe des Amériques, le Paraguay bat le Brésil aux tirs au but et se qualifie pour les demi-finales  .   La Seleção menait grâce à Robinho à la 15e minute de la première mi-temps, Gonzalez a égalisé à la 72e. Po</t>
  </si>
  <si>
    <t>Brésil 2014, coup d'envoi ce soir avec Brésil - Croatie : tous les rendez-vous  .</t>
  </si>
  <si>
    <t>Les marchés boursiers sont optimistes quant aux négociations entre les États-Unis et la Chine. L'industrie continue de reculer dans la zone euro  .  Les fortes hausses enregistrées hier soir à Wall Street ont mis de bonne humeur la Bourse de Tokyo (+1,3 % à</t>
  </si>
  <si>
    <t xml:space="preserve">Coupe Davis, Djokovic bat Berdych : la rencontre Serbie-République tchèque se décidera lors du cinquième match  .   Le numéro 2 mondial bat le Tchèque 6-4, 7-6 (7-5), 6-2 et ramène les Serbes à 2-2. Tout se joue désormais dans la </t>
  </si>
  <si>
    <t>Un ferry pour les vélos entre le Danemark et la Suède  .   Un bateau d’époque reliera de juin à août la petite ville danoise de Dragør, près de Copenhague</t>
  </si>
  <si>
    <t xml:space="preserve">Opération antidrogue entre l'Italie, les États-Unis et la Colombie : arrestations et saisies  .   </t>
  </si>
  <si>
    <t xml:space="preserve">Basket, Mondiaux : le Mexique ne pose pas de problème, les États-Unis en quarts de finale  .   Le cinq américain passe facilement les huitièmes de finale en s'imposant 86-63. Stephen Curry </t>
  </si>
  <si>
    <t>Anniversaire de la République populaire de Chine, défilé de soldats, de chars et de missiles. Et Hong Kong proteste  .   La Chine célèbre le 70e anniversaire de la fondation de la République populaire avec un défilé m</t>
  </si>
  <si>
    <t>Perisic propulse la Croatie, les huitièmes de finale opposeront l'Italie à l'Espagne  .   Un but en fin de match de l'attaquant de l'Inter permet aux hommes de Cacic de battre les champions d'</t>
  </si>
  <si>
    <t>États-Unis, l'ouragan Dorian se dirige vers la Floride. Trump reporte son voyage en Pologne : « Mettez-vous à l'abri »  .   Classé en catégorie 4, il pourrait arriver dès samedi soir. L'état d'urgence a été déclaré</t>
  </si>
  <si>
    <t>Qualifications pour l'Euro 2016, le TAS donne raison à l'Albanie : la Serbie perd sur tapis vert  .   Le Tribunal arbitral du sport a décidé d'annuler la décision de l'UEFA (défaite 3-0 pour</t>
  </si>
  <si>
    <t xml:space="preserve">Droits de douane, nouveau bras de fer entre les États-Unis et la Chine : Trump impose des taxes sur 200 milliards de dollars supplémentaires d'importations  .  Après les représailles de Pékin, la Maison Blanche en rajoute une couche. Et les marchés asiatiques réagissent à </t>
  </si>
  <si>
    <t>Grèce, Schaeuble sceptique avant l'Eurogroupe : « Gouvernement irresponsable »  .   Réunion aujourd'hui à Bruxelles, Tsipras demande plus de temps pour un nouvel accord mais Berlin veut rester</t>
  </si>
  <si>
    <t>France, Monaco passe à la vitesse supérieure : 2-0 à Bordeaux et prend la tête  .   L'équipe de Ranieri, de retour en première division après deux ans en Ligue 2, profite de l'occasion pour</t>
  </si>
  <si>
    <t>Migrants, retour des ONG. Le Sea Watch part de Messine : « Les sauvetages ne peuvent pas s'arrêter »  .   Malte conclut un accord avec la Libye pour renvoyer les bateaux. 450 personnes bloquées depuis plus d’un mois</t>
  </si>
  <si>
    <t>France, Monaco gaspille à Sochaux : le PSG seul en tête  .   L’équipe de Ranieri, qui menait de deux buts à la mi-temps, subit un retour spectaculaire et pour</t>
  </si>
  <si>
    <t xml:space="preserve">Défauts techniques et doutes sur la confidentialité. Du Japon à la France, les applications contre le virus sont un flop  .   En Europe, elles ne sont utilisées qu’à 10 %. Meloni à propos d’Immuni : « Ne la désinstallez pas »  </t>
  </si>
  <si>
    <t xml:space="preserve">Migrants, Salvini : « Changer les règles et faire de la Libye un port sûr ». Et sur les sanctions contre la Russie : « Le veto italien est la solution finale »  .  </t>
  </si>
  <si>
    <t>Cancer du poumon : le dépistage sauve des vies  .   En Belgique et aux Pays-Bas, grâce à un programme de dépistage par tomodensitométrie spirale à faible dose de rayonnement</t>
  </si>
  <si>
    <t>États-Unis-Iran, Khamenei : « Trump révèle le vrai visage de l’Amérique »  .</t>
  </si>
  <si>
    <t>Francesco De Gregori au Bataclan pour sa tournée à l’étranger, entre l’Italie, l’Europe, les États-Unis et le Canada  .   Le « Prince » de la chanson italienne reviendra jouer ses chansons en live (et celles de l'amat</t>
  </si>
  <si>
    <t>Basket, Championnats d'Europe : la France triomphe. La Lituanie battue en finale  .   Succès historique pour l'équipe nationale transalpine qui remporte le titre continental pour la première fois</t>
  </si>
  <si>
    <t>Coronavirus en provenance de Chine, le nombre de morts s'élève à 106. Trois nouveaux cas en Allemagne  .</t>
  </si>
  <si>
    <t>Brescia, un homme de 32 ans porté disparu depuis un an entre la Syrie et la Turquie : « Aidez-moi, je suis prisonnier »  .  Alessandro Sandrini a pris contact avec sa famille qui n’avait plus de nouvelles de lui depuis qu’il est</t>
  </si>
  <si>
    <t xml:space="preserve">Migrants, l’accusation de Strasbourg à l’encontre des pays de l’UE : « Un seul mineur sur les cinq mille arrivés en Italie a été relogé »  .   Le Parlement européen dénonce : seuls 11 % des demandeurs ont été transférés : « La Finlande et Malte </t>
  </si>
  <si>
    <t>Grèce, des milliers d'adultes et d'enfants piégés sur les îles paient le prix de l'accord inhumain UE-Turquie  .   La dénonciation de Médecins Sans Frontières. « C'est l'effet de politiques désastreuses : nouveau pic d'arrivées</t>
  </si>
  <si>
    <t>Mercedes pour Avis, la croissance se poursuit  .   En Espagne et au Portugal également, Avis a choisi les fourgons de la marque de Stuttgart</t>
  </si>
  <si>
    <t>Chine, Delrio : « L'Italie est un pays solide et fiable, l'Allemagne vote aussi en septembre »  .   Le ministre des Infrastructures est en visite d'État avec le président Mattarella. « La démocratie pré</t>
  </si>
  <si>
    <t xml:space="preserve">Coronavirus : en Chine, 1 113 morts et plus de 44 000 cas. 39 nouveaux cas sur le navire au Japon  .  </t>
  </si>
  <si>
    <t>Lutte : l'Iran lève son embargo, feu vert pour les athlètes américains aux championnats du monde de lutte  .   Cette décision fait suite au rejet par la Cour d'appel américaine du recours du ministère de la Justice</t>
  </si>
  <si>
    <t>Coupe America : choc pour l'Uruguay, battu par le Venezuela, il est éliminé du Centenario  .   La Celeste, privée de Luis Suarez, est menée à la mi-temps face aux Vénézuéliens et ne parvient pas à remonter au score</t>
  </si>
  <si>
    <t>Volley, Championnats d'Europe : l'Italie en finale contre la Russie après avoir battu la Bulgarie  .   Les Azzurri de Berruto s'imposent 3-1 en demi-finale et affronteront dimanche à Copenhague les</t>
  </si>
  <si>
    <t xml:space="preserve">Bourses en baisse sur fond de conflit commercial entre les États-Unis et la Chine  .  Les marchés asiatiques en baisse au lendemain d'une nouvelle séance en forte chute à Wall Street. Tokyo </t>
  </si>
  <si>
    <t>La Chine menace Trump sur les droits de douane : « C'est la guerre commerciale, nous sommes prêts à riposter »  .  Les mesures restrictives américaines sur l'acier et l'aluminium irritent Pékin : « À l'ère de la mondialisation</t>
  </si>
  <si>
    <t xml:space="preserve">Daech, Syrie : découverte d'un charnier contenant 42 corps. Un raid en Irak tue le chef des armements de l’État islamique  .   </t>
  </si>
  <si>
    <t xml:space="preserve">Russie, Capello ne part pas : « Je reste sélectionneur jusqu’en 2018 »  .   Malgré une Coupe du monde décevante au Brésil, l’entraîneur italien poursuivra son aventure avec </t>
  </si>
  <si>
    <t>Brescia, une jeune Érythréenne arrivée sur un bateau après deux ans retrouve son père réfugié en Suède  .   Le long voyage entrepris seule, puis la rencontre au commissariat grâce aux recherches lancées par</t>
  </si>
  <si>
    <t>Hakan Sukur, de star turque à chauffeur Uber aux États-Unis : « Erdogan m'a tout pris »  .   Déclaration virulente de l'ancien attaquant de 48 ans (il a joué en Italie avec Turin, l'Inter et Parme), contraint de et</t>
  </si>
  <si>
    <t>Matchs amicaux : l’Argentine sourit avec Icardi-Dybala, le Brésil s’impose mais Neymar se blesse  .   Les attaquants de l’Inter et de la Juve ont inscrit les buts grâce auxquels l’Albiceleste de Scaloni a battu le</t>
  </si>
  <si>
    <t>Japon : 14 milliards d’euros d’aide aux pays d’Asie du Sud-Est  Sur 5 ans, pour renforcer les liens face à la montée en puissance de la Chine  .</t>
  </si>
  <si>
    <t>Mexique : un an après les protocoles américains sur l'immigration, le bilan pour des milliers de personnes est dévastateur  .   Le rapport de Médecins Sans Frontières. 62 000 personnes renvoyées au Mexique. À Matamoros, à quelques pas de la frontière</t>
  </si>
  <si>
    <t>Europe, le marché automobile au ralenti avec l'Allemagne et le Royaume-Uni. FCA brille  .  Le mois de juin se termine sur une croissance de 2,1 % : en Grande-Bretagne, les incertitudes sur le Brexit et la nouvelle</t>
  </si>
  <si>
    <t>Le Sénat approuve le projet de méga-gazoduc de l'Adriatique  .   La Chambre a approuvé l'accord avec l'Albanie et la Grèce pour le gazoduc Trans Adriatic Pipeline, qui trans</t>
  </si>
  <si>
    <t>Roumanie-Suisse 1-1 : Mehmedi répond à Stancu  .  Match nul au Parc des Princes, même si les Helvètes auraient mérité mieux. N</t>
  </si>
  <si>
    <t xml:space="preserve">États-Unis, Trump autorise le recours à la « force létale » contre la caravane de migrants en provenance du Mexique  .  </t>
  </si>
  <si>
    <t>Le mystère des procès-verbaux secrets du FMI : « Les banques sauvées aux dépens de la Grèce »  .   Le Wall Street Journal publie les documents confidentiels de la réunion de mai 2010 au cours de laquelle il a été décidé</t>
  </si>
  <si>
    <t>Rugby, Coupe du monde : la Nouvelle-Zélande s'impose sans peine, mais la Namibie s'arrache les applaudissements  .   Les All Blacks s'imposent 71-9 dans un match équilibré pendant 30 minutes, les Africains sans crainte</t>
  </si>
  <si>
    <t>Les Microsoft Hololens sont disponibles, mais à un prix élevé  .   L'appareil est réservé aux développeurs et aux clients professionnels aux États-Unis et au Canada. On peut en commander jusqu'à</t>
  </si>
  <si>
    <t>Italie : avec un spread à 140 points, la Grèce se rapproche et l'Espagne s'éloigne. Bourses en baisse  .   Malgré la quatrième élection en quatre ans, le bon du Trésor à dix ans de Madrid rapporte moins de 0,4 % sur le marché</t>
  </si>
  <si>
    <t>Al Bano change d'avis : « Je ne veux plus prendre ma retraite ». Et parmi les deux vice-premiers ministres, il choisit Salvini  .   Le chanteur de Cellino San Marco, tout juste rentré d'une mini-tournée en Chine et en Russie, l'a déclaré</t>
  </si>
  <si>
    <t>Royaume-Uni, Corbyn lance « son » Brexit et divise les Tories. Le gouvernement May est désormais en danger  .  Le leader travailliste s'appuie sur l'exemple de la Turquie pour proposer une Grande-Bretagne au sein d'une « union</t>
  </si>
  <si>
    <t>Course aux ordinateurs quantiques, l'Europe devient un modèle  . Des pays comme le Canada et le Japon regardent avec intérêt vers notre continent où existe un programme de</t>
  </si>
  <si>
    <t>Corea del Norte se dice dispuesta a dialogar con EU  .  Kim Jong-un podría reunirse con Trump 'bajo las condiciones apropiadas', aseguran</t>
  </si>
  <si>
    <t>Migran de una Venezuela en crisis a una Colombia en guerra  .  Los venezolanos huyen de la crisis, pero se est&amp;aacute;n encontrando de frente con la guerra en Colo</t>
  </si>
  <si>
    <t>Venezuela cuestiona que Argentina presida Mercosur  .  La canciller venezolana crítica que Argentina reciba la presidencia pro témpore</t>
  </si>
  <si>
    <t>Cuba libera a presos políticos como parte del acuerdo con EU  .  El gobierno de la isla cumple con el compromiso de poner en libertad a 53 personas detenidas</t>
  </si>
  <si>
    <t>Argentina, sin Messi, gana a Ecuador  .  Pese a no contar con su jugador estrella, el resultado favoreció a su equipo 2-1</t>
  </si>
  <si>
    <t>Honduras y Ecuador, duelo a muerte en Grupo E  .  Jugarán este 20 de Junio a las 17:00 horas tiempo del centro de México</t>
  </si>
  <si>
    <t>Desaparece en Italia miembro de Fuerza Aérea de EU  .  Se desconoce su paradero desde el pasado dos de julio, despues de asistir a una comida</t>
  </si>
  <si>
    <t xml:space="preserve">Corea del  Sur y China provocarían lluvia artificial contra contaminación  .  Este mi&amp;eacute;rcoles, la nube gris que obliga a los surcoreanos a usar una mascarilla llam&amp;oacute; </t>
  </si>
  <si>
    <t xml:space="preserve">Automotrices de Estados Unidos e Italia concretan su fusión  .  La empresa cotizará en la bolsa de valores de Nueva York y en la de Milán    </t>
  </si>
  <si>
    <t>Acusan al presidente de Colombia por “complot” contra Maduro   .  El ministro de Comunicaci&amp;oacute;n y Turismo de Venezuela, Jorge Rodr&amp;iacute;guez, inform&amp;oacute; qu</t>
  </si>
  <si>
    <t>La BMV retrocede, pendiente de negociaciones entre China y EU  .  La Bolsa Mexicana de Valores (BMV) inicia con una ca&amp;iacute;da de 0.18 por ciento o 76.65 puntos men</t>
  </si>
  <si>
    <t>Crítica de Fidel demuestra que viaje de Obama tuvo éxito: EU  .  La Casa Blanca señala que la recepción del presidente en Cuba fue de su agrado</t>
  </si>
  <si>
    <t>Nishikori gana el Abierto de Malasia  .  Derrota al francés Julien Benneteau 7-6 (4), 6-4</t>
  </si>
  <si>
    <t>Perú supera a Francia y se acerca a los 200 mil casos de COVID-19  .  Per&amp;uacute; se convirti&amp;oacute; este s&amp;aacute;bado en el octavo pa&amp;iacute;s con m&amp;aacute;s infectado</t>
  </si>
  <si>
    <t>Irlanda del Norte mantiene paso perfecto rumbo a Eurocopa 2016  .  Afianza liderato del Grupo F con victoria 2-0 ante Grecia como visitante</t>
  </si>
  <si>
    <t>Luis Suárez, descartado para amistoso ante Chile  .  El DT de la selección de Uruguay decide que Suárez regrese a Barcelona</t>
  </si>
  <si>
    <t>Perú va por pase a cuartos en juego contra Ecuador  .  La Selección espera sellar el avance con una victoria en partido de este miércoles</t>
  </si>
  <si>
    <t xml:space="preserve">Suman casi 50 muertos por ciclón "Fani" en India y Bangladesh  .  El cicl&amp;oacute;n "Fani", uno de los m&amp;aacute;s devastadores de los &amp;uacute;ltimos a&amp;ntilde;os en el </t>
  </si>
  <si>
    <t>Tri Sub-20 golea 8-0 a Malasia  .  El partido se celebró en China, como parte de la gira asiática</t>
  </si>
  <si>
    <t>Corea del Sur gestiona nueva cumbre presidencial con Corea del Norte  .  El gobierno de Corea del Sur buscar&amp;aacute; concretar este a&amp;ntilde;o la visita a este pa&amp;iacute;s d</t>
  </si>
  <si>
    <t xml:space="preserve">Portugal busca sellar el boleto; Francia, un milagro  .  La última ronda de los repechajes en Europa se lleva a cabo este 19 de noviembre    </t>
  </si>
  <si>
    <t xml:space="preserve">EU defenderá a Japón si es necesario: Chuck Hagel  .  Reafirma Secretario de Defensa compromisos bilaterales    </t>
  </si>
  <si>
    <t>Islandia elimina a Inglaterra de la Eurocopa  .  Los islandeses derrotan a los ingleses con un marcador final de 2 -1</t>
  </si>
  <si>
    <t>Miles se quedan sin electricidad en EU y Canadá  .  Tormenta de hielo ocurrida el fin de semana la causante de la falla; las instalaciones eléctricas se</t>
  </si>
  <si>
    <t>Trump visitará el Reino Unido a comienzos de junio  .  El presidente de Estados Unidos, Donald Trump, har&amp;aacute; una visita de Estado al Reino Unido el pr</t>
  </si>
  <si>
    <t>Solución de dos Estados, única vía para Israel y Palestina: ONU  .  Naciones Unidas se pronuncia luego de que Trump abandonara este compromiso de dos naciones</t>
  </si>
  <si>
    <t>Llaman a Gandhi "racista" y quitan su estatua en Ghana  .  Una estatua del l&amp;iacute;der de la India, Mahatma Gandhi, fue retirada de la Universidad de Ghana, l</t>
  </si>
  <si>
    <t>Serbia impone su superioridad ante Egipto en Mundial de Basquetbol  .  Los balcánicos no dejan lugar a una posible sorpresa y desde el primer cuarto dominaron el encuentro</t>
  </si>
  <si>
    <t>EU alerta por nueva escalada de tensiones en Ucrania  .  Reiteran a las partes a adherirse estrictamente al alto al fuego firmado hace dos meses</t>
  </si>
  <si>
    <t>La OEA se reunirá para hablar de crisis Colombia-Venezuela  .  La convocatoria tiene como fin mirar la situación humanitaria que viven los colombianos deportados</t>
  </si>
  <si>
    <t>Gobierno alemán exige esclarecer el suicidio de presunto terrorista  .  La muerte del sirio, de 22 años, obviamente dificulta la investigación sobre posibles planes de aten</t>
  </si>
  <si>
    <t>Trump felicita a militares de EU por ataque a Siria  .  El presidente escribe en su Twitter un mensaje para los soldados estadounidenses</t>
  </si>
  <si>
    <t xml:space="preserve">Los croatas, con la frente en alto  .  Zlatko Dalic, seleccionador de Croacia, felicit&amp;oacute; a Francia por su “merecido t&amp;iacute;tulo” y </t>
  </si>
  <si>
    <t>Argentinos se desplazan en masa hacia Chile para ver a Francisco  .  Mientras en Lima, Per&amp;uacute;, se incendiaba una gran imagen de Cristo colocada frente al oc&amp;eacute;</t>
  </si>
  <si>
    <t>México rebasaría a Japón y EU en la producción de autos  .  Alcanzará un volumen anual de 4.4 millones de unidades para 2020; ahora es de 2.9 millones</t>
  </si>
  <si>
    <t>Rusia y Ucrania logran acuerdo sobre gas natural  .  'Puedo decir que Ucrania tendrá gas, Ucrania tendrá calefacción', afirma Poroshenko</t>
  </si>
  <si>
    <t>Francia iguala ante EU en su último ensayo antes del Mundial  .  Francia, uno de los favoritos al t&amp;iacute;tulo del Mundial, igual&amp;oacute; 1-1 ante Estados Unidos en</t>
  </si>
  <si>
    <t>Rusia corta los suministros de gas a Ucrania  .  Gazprom impone un sistema de prepago para dar el servicio</t>
  </si>
  <si>
    <t>Diplomático de EU da testimonio "incriminatorio" en pesquisa contra Trump  .  El embajador designado de Estados Unidos en Ucrania, William Taylor, dijo este martes que Washington</t>
  </si>
  <si>
    <t xml:space="preserve">Israel prohíbe entrada a dos congresistas de EU por ley anti-boicot  .  Israel confirm&amp;oacute; oficialmente este jueves que no permitir&amp;aacute; entrar al pa&amp;iacute;s a dos </t>
  </si>
  <si>
    <t>Neymar le quita el sueño a James Rodríguez  .  Colombia se enfrenta a Brasil en la Copa América; una derrota podría dejarla eliminada</t>
  </si>
  <si>
    <t>España envía un funcionario para investigar incidente denunciado por Bolivia  .  El Ministerio espa&amp;ntilde;ol de Asuntos Exteriores ha enviado un funcionario para investigar la denu</t>
  </si>
  <si>
    <t>Suman nueve muertos por tifón ‘Hato’ en China  .  Informaron que 153 personas resultaron heridas en Macao</t>
  </si>
  <si>
    <t>Brasil producirá suero con virus de rabia para combatir ébola  .  El Instituto Butantan ultima un acuerdo con Estados Unidos para construir el antibiótico</t>
  </si>
  <si>
    <t>Rusia responderá a nuevas sanciones de EU  .  Están seguros de que esto tendrá un efecto doloroso para Washington</t>
  </si>
  <si>
    <t>Aprehensión del ''Z-40'' acapara primeras planas en Alemania  .  Se destacó que México y Estados Unidos ofrecieron una recompensa de cinco millones de dólares por in</t>
  </si>
  <si>
    <t>EU y Brasil baten récords de muertes por coronavirus  .  Las cifras de fallecidos aumentan vertiginosamente y los tristes r&amp;eacute;cords se acumulan en Brasi</t>
  </si>
  <si>
    <t xml:space="preserve">Costa Rica dará trato recíproco a EU  .  No habrá trato especial para los americanos en Migración de Costa Rica    </t>
  </si>
  <si>
    <t>EU condena los 'deplorables' atentados en Tailandia  .  El Gobierno estadounidense mantendrá un ''estrecho contacto con las autoridades tailandesas mientras</t>
  </si>
  <si>
    <t>Hello Kitty abre su primer restaurante en Hong Kong  .  La popular gatita japonesa apuesta por primera vez por la gastronomía china</t>
  </si>
  <si>
    <t>Hong Kong y China empatan en un partido con tensión  .  Igualan 0-0 en duelo en el que se abucheó el himno chino y acaparó atención</t>
  </si>
  <si>
    <t>Irán, dispuesto a negociar si levantan las sanciones  .  Ir&amp;aacute;n anunci&amp;oacute; que est&amp;aacute; dispuesto a negociar con Estados Unidos si Washington lev</t>
  </si>
  <si>
    <t>El penal a favor de Francia fue injusto: Joachim Löw  .  Joachim L&amp;ouml;w, el seleccionador de Alemania, que est&amp;aacute; en una posici&amp;oacute;n delicada tras</t>
  </si>
  <si>
    <t>EU desplaza a Jamaica en prueba de 100 metros  .  La estadounidense Tori Bowie se llevó el oro y confirmó la pérdida de la hegemonía de la isla caribe</t>
  </si>
  <si>
    <t xml:space="preserve">Tropas de EU, fuera de Afganistán en 2014: NY Times  .  Obama considera el retiro del Ejército según informaron al diario    </t>
  </si>
  <si>
    <t>Maduro anuncia cierre de embajada y consulados en EU  .  El presidente de Venezuela, Nicol&amp;aacute;s Maduro, anunci&amp;oacute; este jueves el cierre de su embaja</t>
  </si>
  <si>
    <t xml:space="preserve">EU ofrecería garantías de seguridad sin precedentes a Pyongyang  .  Estados Unidos est&amp;aacute; "preparado" para ofrecer a Corea del Norte garant&amp;iacute;as de seguridad </t>
  </si>
  <si>
    <t>Manuel Monge, de 'La rosa de Guadalupe' a Estados Unidos  .  El actor inicia rodaje en EU de 'El buen parricida'</t>
  </si>
  <si>
    <t xml:space="preserve">Policía de Ecuador decomisa cocaína que sería llevada a España  .  Tras inspeccionar tres contenedores, la policía antinarcóticos localizó 3.2 toneladas de la droga   </t>
  </si>
  <si>
    <t>Irán no puede sustituir a Rusia en el suministro de gas a la UE  .  Rohaní resalta que su país sufre escasez en el invierno por atraso en la extracción</t>
  </si>
  <si>
    <t>Afinan nuevo tratado comercial EU-México-Canadá  .  Estados Unidos, M&amp;eacute;xico y Canad&amp;aacute; se disponen a concluir en los pr&amp;oacute;ximos d&amp;iacute</t>
  </si>
  <si>
    <t>Tormenta tropical 'Otto' se forma en el Caribe  .  El fenómeno se origina este lunes en las costas de Nicaragua y Costa Rica</t>
  </si>
  <si>
    <t xml:space="preserve">Desarme químico sirio será posible si EU rechaza la fuerza: Putin  .  Explica que es difícil conducir a cualquier país al desarme unilateral si está bajo amenaza    </t>
  </si>
  <si>
    <t>Emiten alerta roja en Costa Rica por tormenta 'Otto'  .  Ordenan evacuaciones obligatorias en la costa norte y la frontera con Nicaragua</t>
  </si>
  <si>
    <t>Segunda reunión sobre tregua en Siria se aplaza hasta mañana  .  Esto se debe al retraso de las delegaciones de Turquía y la oposición siria</t>
  </si>
  <si>
    <t xml:space="preserve">Peña Nieto alista gira a Rusia y Turquía  .  El Presidente se ausentará del país del 1 al 7 de septiembre    </t>
  </si>
  <si>
    <t>Argentina extradita a narco colombiano 'Mi Sangre' a EU  .  La justicia estadounidense le solicita por asociación ilícita para distribuir cocaína; en 2012 fue p</t>
  </si>
  <si>
    <t>Estados Unidos autoriza salida de su personal en Nepal  .  El embajador estadounidense en ese país puede decir qué grupos de empleados dejarían el país</t>
  </si>
  <si>
    <t>Tropas sirias acabarán con el EI antes que termine el año: Rusia  .  El Ej&amp;eacute;rcito de Siria recuperar&amp;aacute; el control de la frontera oriental del pa&amp;iacute;s y a</t>
  </si>
  <si>
    <t>Tras datos en China y EU, la BMV abre con ganancia  .  El IPC se ubica en 44 mil 876.19 unidades, con incremento de 124.79 puntos</t>
  </si>
  <si>
    <t>Costa Rica cierra dos días su embajada en Venezuela  .  El cierre se debe a la tensión que se vive en las calles de Caracas, informó el Ministerio de Relaci</t>
  </si>
  <si>
    <t>La BMV gana, con atención a tema comercial entre EU y China  .  La Bolsa Mexicana de Valores (BMV) abri&amp;oacute; la sesi&amp;oacute;n con una ligera ganancia de 0.01 por</t>
  </si>
  <si>
    <t>'No se aceptan devoluciones' llega a China e India  .  Ambos países preparan papeleos para el 'remake' de la cinta de Eugenio Derbez</t>
  </si>
  <si>
    <t>Hungría detiene a otro sospechoso de muerte de migrantes en Austria  .  El hombre de nacionalidad búlgara será puesto en custodia por tráfico de personas</t>
  </si>
  <si>
    <t>Diario alemán no publicará todos datos filtrados de Panamá  .  El lote completo, de 11.5 millones de documentos, no se ofrecerá la público ni a agencias de segurid</t>
  </si>
  <si>
    <t xml:space="preserve">Brasil cierra el año con goleada sobre Corea del Sur  .  La Selecci&amp;oacute;n brasile&amp;ntilde;a puso fin este martes a una racha de cinco partidos sin conocer </t>
  </si>
  <si>
    <t>Francia y Bélgica empatan tras la primera jornada  .  David Goffin y Jo-Wilfried Tsonga se hallan en su mejor momento.Ambos estuvieron a la altura del com</t>
  </si>
  <si>
    <t>Tormenta "Dennis" azota Reino Unido y Francia  .  La tormenta "Dennis" azotaba el domingo Reino Unido, con lluvias torrenciales y fuertes vientos deja</t>
  </si>
  <si>
    <t>Rescatan en Filipinas a dos pescadores secuestrados por Abu Sayyaf  .  Los rehenes, de nacionalidad indonesia, estaban cautivos desde el pasado noviembre</t>
  </si>
  <si>
    <t>Rosberg es el más rápido en primeros libres de Singapur  .  El piloto tapatío de Force India, Sergio Pérez finalizó en lugar 12</t>
  </si>
  <si>
    <t>Cuba y EU evidencian tensión por derechos humanos  .  Raúl Castro y Barack Obama dejan al descubierto diferencias por el bloqueo económico a Cuba</t>
  </si>
  <si>
    <t>Capturan en Colombia a capo buscado por EU  .  Carlos Enrique Samuels es el cabecilla de una organización dedicada al narcotráfico</t>
  </si>
  <si>
    <t>La "supervivencia como país" de Irán está en duda: Trump  .  El presidente de Estados Unidos, Donald Trump, dijo hoy que Ir&amp;aacute;n est&amp;aacute; "en problemas" y</t>
  </si>
  <si>
    <t>Millones de evacuados y 13 muertos deja súper ciclón en India y Bangladesh  .  La llegada hoy del cicl&amp;oacute;n "extremadamente severo" Amphan a la costa oriental india y al vecin</t>
  </si>
  <si>
    <t>Italia gana a China y pasa a cuartos del Mundial femenino  .  Italia logr&amp;oacute; pasar a cuartos de final del Mundial femenino de futbol, por primera vez en 28 a</t>
  </si>
  <si>
    <t>Llevarán clásico español a México, China y EU  .  Organizarán eventos para difundirlo; Christian Karembeu estará en la Ciudad de México</t>
  </si>
  <si>
    <t>El 7-1 de Alemania no es algo normal: Sabella  .  El entrenador de Argentina señala que no es un marcador 'normal' para un duelo entre potencias</t>
  </si>
  <si>
    <t>Australia estudia reconocer a Jerusalén como capital de Israel  .  Australia estudia reconocer a Jerusal&amp;eacute;n como capital de Israel y trasladar all&amp;iacute; su emb</t>
  </si>
  <si>
    <t>Autor de la masacre en Nueva Zelanda visitó Bulgaria en noviembre  .  Las autoridades b&amp;uacute;lgaras confirmaron este viernes que Brenton Tarrant, el presunto cerebro de</t>
  </si>
  <si>
    <t>Etiopía anuncia el fin de su litigio fronterizo con Eritrea  .  La coalici&amp;oacute;n en el poder en Etiop&amp;iacute;a anunci&amp;oacute; el martes que decidi&amp;oacute; aplica</t>
  </si>
  <si>
    <t>Turquía acusa a Alemania de proteger a enemigos del país  .  Condenan que el país acoja a miembros del PKK y a simpatizantes de Gülen</t>
  </si>
  <si>
    <t>Canadá y EU podrían acordar nuevo TLCAN en 48 horas: Guajardo  .  En las pr&amp;oacute;ximas 48 horas se sabr&amp;aacute; si el nuevo Tratado de Libre Comercio de Am&amp;eacute;r</t>
  </si>
  <si>
    <t>Un gol de Messi le da la victoria a Argentina ante Brasil  .  Argentina se impuso a Brasil por 1-0 este viernes en un amistoso en Riad, gracias a un gol de su cap</t>
  </si>
  <si>
    <t>Leopoldo López sólo podría pedir asilo si estuviera en España: Borrell  .  El dirigente opositor de Venezuela, Leopoldo L&amp;oacute;pez, de ninguna manera puede pedir asilo pol&amp;i</t>
  </si>
  <si>
    <t>Leyendas de Brasil juegan partido a beneficio del Chapecoense  .  Cafu, Rivaldo y Emerson, entre otros, participan en juego en Estados Unidos</t>
  </si>
  <si>
    <t>Vaticano confirma viaje del Papa Francisco a Egipto  .  Pese a los atentados del domingo, el Sumo Pontífice visitará el país africano los días 28 y 29 de ab</t>
  </si>
  <si>
    <t>Putin ofrece apoyo a Grecia para combatir los incendios forestales  .  El presidente ruso, Vlad&amp;iacute;mir Putin, ofreci&amp;oacute; hoy al Gobierno griego la ayuda de Rusia p</t>
  </si>
  <si>
    <t>Israel aprueba tregua humanitaria de cuatro horas en Gaza  .  Se anuncia en un comunicado que el alto al fuego inicia a las 12:00 y finaliza a las 16:00 hora loca</t>
  </si>
  <si>
    <t>Isabel II y Wilbur Ross, entre implicados en caso de paraísos fiscales  .  La reina Isabel II de Inglaterra, el presidente de Colombia, Juan Manuel Santos, o los cantantes Bon</t>
  </si>
  <si>
    <t>ARG ECU</t>
  </si>
  <si>
    <t>HND ECU</t>
  </si>
  <si>
    <t>KOR CHN</t>
  </si>
  <si>
    <t>MYS FRA</t>
  </si>
  <si>
    <t>PER FRA</t>
  </si>
  <si>
    <t>IRL GRC</t>
  </si>
  <si>
    <t>PER ECU</t>
  </si>
  <si>
    <t>PRT FRA</t>
  </si>
  <si>
    <t>ISL GBR</t>
  </si>
  <si>
    <t>GHA IND</t>
  </si>
  <si>
    <t>SRB EGY</t>
  </si>
  <si>
    <t>DEU SYR</t>
  </si>
  <si>
    <t>HRV FRA</t>
  </si>
  <si>
    <t>COL BRA</t>
  </si>
  <si>
    <t>ESP BOL</t>
  </si>
  <si>
    <t>CHN MAC</t>
  </si>
  <si>
    <t>CRI USA</t>
  </si>
  <si>
    <t>USA THA</t>
  </si>
  <si>
    <t>USA JAM</t>
  </si>
  <si>
    <t>GLP USA</t>
  </si>
  <si>
    <t>ECU ESP</t>
  </si>
  <si>
    <t>IRN RUS</t>
  </si>
  <si>
    <t>NIC CRI</t>
  </si>
  <si>
    <t>CRI NIC</t>
  </si>
  <si>
    <t>ARG USA</t>
  </si>
  <si>
    <t>USA NPL</t>
  </si>
  <si>
    <t>CRI VEN</t>
  </si>
  <si>
    <t>HUN AUT</t>
  </si>
  <si>
    <t>DEU PAN</t>
  </si>
  <si>
    <t>SGP IND</t>
  </si>
  <si>
    <t>ITA CHN</t>
  </si>
  <si>
    <t>AUS ISR</t>
  </si>
  <si>
    <t>NZL BGR</t>
  </si>
  <si>
    <t>ETH ERI</t>
  </si>
  <si>
    <t>ESP VEN</t>
  </si>
  <si>
    <t>VAT EGY</t>
  </si>
  <si>
    <t>GBR COL</t>
  </si>
  <si>
    <t>La Corée du Nord se dit prête à dialoguer avec les États-Unis. Kim Jong-un pourrait rencontrer Trump « dans des conditions appropriées », affirment-ils</t>
  </si>
  <si>
    <t>Ils fuient un Venezuela en crise pour se réfugier en Colombie en guerre. Les Vénézuéliens fuient la crise, mais se retrouvent confrontés à la guerre en Colombie</t>
  </si>
  <si>
    <t>Le Venezuela conteste la présidence du Mercosur par l'Argentine.  La ministre vénézuélienne des Affaires étrangères critique le fait que l'Argentine assume la présidence pro tempore</t>
  </si>
  <si>
    <t>Cuba libère des prisonniers politiques dans le cadre de l'accord avec les États-Unis  .  Le gouvernement de l'île respecte son engagement de libérer 53 personnes détenues</t>
  </si>
  <si>
    <t>L'Argentine, sans Messi, bat l'Équateur  .  Malgré l'absence de son joueur vedette, le résultat a été favorable à son équipe (2-1)</t>
  </si>
  <si>
    <t>Le Honduras et l'Équateur, un duel à mort dans le groupe E  .  Ils s'affronteront ce 20 juin à 17 h, heure du centre du Mexique</t>
  </si>
  <si>
    <t>Un membre de l'armée de l'air américaine disparaît en Italie  .  On ignore où il se trouve depuis le 2 juillet dernier, après avoir assisté à un repas</t>
  </si>
  <si>
    <t xml:space="preserve">La Corée du  Sud et la Chine envisageraient de provoquer des pluies artificielles pour lutter contre la pollution  .  Ce mercredi, le nuage gris qui oblige les Sud-Coréens à porter un masque a appelé </t>
  </si>
  <si>
    <t>Les constructeurs automobiles américains et italiens finalisent leur fusion  .  La société sera cotée à la Bourse de New York et à celle de Milan</t>
  </si>
  <si>
    <t>Le président colombien est accusé de « complot » contre Maduro  .  Le ministre vénézuélien de la Communication et du Tourisme, Jorge Rodríguez, a indiqué que</t>
  </si>
  <si>
    <t>La BMV recule, dans l'attente des négociations entre la Chine et les États-Unis  .  La Bourse mexicaine (BMV) ouvre en baisse de 0,18 %, soit 76,65 points</t>
  </si>
  <si>
    <t>La critique de Fidel montre que le voyage d'Obama a été un succès : États-Unis  .  La Maison Blanche souligne que l'accueil réservé au président à Cuba lui a plu</t>
  </si>
  <si>
    <t>Nishikori remporte l'Open de Malaisie  .  Il bat le Français Julien Benneteau 7-6 (4), 6-4</t>
  </si>
  <si>
    <t>Le Pérou dépasse la France et approche les 200 000 cas de COVID-19  .  Le Pérou est devenu ce samedi le huitième pays le plus touché</t>
  </si>
  <si>
    <t>L'Irlande du Nord poursuit son parcours sans faute vers l'Euro 2016  .  Elle consolide sa place de leader du groupe F grâce à une victoire 2-0 à l'extérieur contre la Grèce</t>
  </si>
  <si>
    <t>Luis Suárez, écarté du match amical contre le Chili  .  Le sélectionneur de l'Uruguay décide que Suárez retourne à Barcelone</t>
  </si>
  <si>
    <t>Le Pérou vise une place en quarts de finale lors du match contre l'Équateur  .  La sélection espère sceller sa qualification par une victoire lors du match de ce mercredi</t>
  </si>
  <si>
    <t xml:space="preserve">On dénombre près de 50 morts suite au cyclone « Fani » en Inde et au Bangladesh  .  Le cyclone « Fani », l’un des plus dévastateurs de ces dernières années en </t>
  </si>
  <si>
    <t>L’équipe nationale U-20 écrase la Malaisie 8-0  .  Le match s’est déroulé en Chine, dans le cadre de la tournée asiatique</t>
  </si>
  <si>
    <t>La Corée du Sud organise un nouveau sommet présidentiel avec la Corée du Nord  .  Le gouvernement sud-coréen cherchera à concrétiser cette année la visite dans ce pays de</t>
  </si>
  <si>
    <t>Le Portugal cherche à décrocher son billet ; la France, un miracle  .  Le dernier tour des barrages en Europe se déroule ce 19 novembre</t>
  </si>
  <si>
    <t xml:space="preserve">Les États-Unis défendront le Japon si nécessaire : Chuck Hagel  .  Le secrétaire à la Défense réaffirme les engagements bilatéraux    </t>
  </si>
  <si>
    <t>L'Islande élimine l'Angleterre de l'Euro  .  Les Islandais battent les Anglais sur un score final de 2-1</t>
  </si>
  <si>
    <t>Des milliers de personnes sont privées d'électricité aux États-Unis et au Canada. Une tempête de verglas survenue ce week-end est à l'origine de la panne ; les installations électriques sont</t>
  </si>
  <si>
    <t>Trump se rendra au Royaume-Uni début juin. Le président américain, Donald Trump, effectuera une visite d'État au Royaume-Uni le</t>
  </si>
  <si>
    <t>La solution à deux États, seule voie pour Israël et la Palestine : ONU  .  Les Nations unies se prononcent après que Trump a renoncé à cet engagement en faveur de deux États</t>
  </si>
  <si>
    <t>Gandhi qualifié de « raciste » et sa statue retirée au Ghana  .  Une statue du leader indien Mahatma Gandhi a été retirée de l'université du Ghana, l</t>
  </si>
  <si>
    <t>La Serbie s'impose face à l'Égypte lors de la Coupe du monde de basket-ball  .  Les Balkans ne laissent aucune place à une éventuelle surprise et ont dominé le match dès le premier quart-temps</t>
  </si>
  <si>
    <t>Les États-Unis mettent en garde contre une nouvelle escalade des tensions en Ukraine  .  Ils rappellent aux parties de respecter strictement le cessez-le-feu signé il y a deux mois</t>
  </si>
  <si>
    <t>L'OEA se réunira pour discuter de la crise entre la Colombie et le Venezuela  .  Cette réunion a pour but d’examiner la situation humanitaire des Colombiens expulsés</t>
  </si>
  <si>
    <t>Le gouvernement allemand exige que la mort par suicide d’un terroriste présumé soit élucidée  .  Le décès de ce Syrien de 22 ans complique évidemment l’enquête sur d’éventuels projets d’attentat</t>
  </si>
  <si>
    <t>Trump félicite les militaires américains pour l’attaque contre la Syrie  .  Le président a publié un message sur Twitter à l’intention des soldats américains</t>
  </si>
  <si>
    <t xml:space="preserve">Les Croates, la tête haute  .  Zlatko Dalic, sélectionneur de la Croatie, a félicité la France pour son « titre mérité » et </t>
  </si>
  <si>
    <t>Les Argentins se rendent en masse au Chili pour voir François  .  Tandis qu’à Lima, au Pérou, une grande image du Christ placée face à l’oc&amp;eacute;</t>
  </si>
  <si>
    <t>Le Mexique dépasserait le Japon et les États-Unis en matière de production automobile  .  Il atteindra un volume annuel de 4,4 millions d'unités d'ici 2020 ; il est actuellement de 2,9 millions</t>
  </si>
  <si>
    <t>La Russie et l'Ukraine parviennent à un accord sur le gaz naturel  .  « Je peux affirmer que l'Ukraine aura du gaz, l'Ukraine aura du chauffage », déclare Porochenko</t>
  </si>
  <si>
    <t>La France fait match nul face aux États-Unis lors de son dernier match de préparation avant la Coupe du monde.  La France, l’un des favoris pour le titre de champion du monde, a fait match nul 1-1 face aux États-Unis à</t>
  </si>
  <si>
    <t>La Russie coupe l’approvisionnement en gaz de l’Ukraine.  Gazprom impose un système de prépaiement pour fournir le service</t>
  </si>
  <si>
    <t>Un diplomate américain fait un témoignage « à charge » dans l’enquête contre Trump.  L'ambassadeur désigné des États-Unis en Ukraine, William Taylor, a déclaré mardi que Washington</t>
  </si>
  <si>
    <t xml:space="preserve">Israël interdit l'entrée à deux membres du Congrès américain en vertu de la loi anti-boycott  .  Israël a officiellement confirmé ce jeudi qu'il n'autoriserait pas l'entrée sur son territoire de deux </t>
  </si>
  <si>
    <t>Neymar empêche James Rodríguez de dormir  .  La Colombie affronte le Brésil lors de la Copa América ; une défaite pourrait la voir éliminée</t>
  </si>
  <si>
    <t>L'Espagne envoie un fonctionnaire pour enquêter sur un incident dénoncé par la Bolivie  .  Le ministère espagnol des Affaires étrangères a envoyé un fonctionnaire pour enquêter sur la plainte</t>
  </si>
  <si>
    <t>On dénombre neuf morts suite au typhon « Hato » en Chine  .  On a signalé que 153 personnes ont été blessées à Macao</t>
  </si>
  <si>
    <t>Le Brésil va produire un sérum à base de virus de la rage pour lutter contre Ebola  .  L'Institut Butantan finalise un accord avec les États-Unis pour mettre au point l'antibiotique</t>
  </si>
  <si>
    <t>La Russie va riposter aux nouvelles sanctions américaines  .  Ils sont convaincus que cela aura des conséquences douloureuses pour Washington</t>
  </si>
  <si>
    <t>L'arrestation du « Z-40 » fait la une des journaux en Allemagne  .  Il a été souligné que le Mexique et les États-Unis ont offert une récompense de cinq millions de dollars pour</t>
  </si>
  <si>
    <t>Les États-Unis et le Brésil battent des records de décès liés au coronavirus  .  Le nombre de décès augmente vertigineusement et les tristes records s’accumulent au Brasi</t>
  </si>
  <si>
    <t>Le Costa Rica accordera un traitement réciproque aux États-Unis  .  Il n’y aura pas de traitement spécial pour les Américains au service de l’immigration du Costa Rica</t>
  </si>
  <si>
    <t>Les États-Unis condamnent les attentats « déplorables » en Thaïlande  .  Le gouvernement américain restera en « contact étroit avec les autorités thaïlandaises pendant que</t>
  </si>
  <si>
    <t>Hello Kitty ouvre son premier restaurant à Hong Kong  .  La célèbre petite chatte japonaise se lance pour la première fois dans la gastronomie chinoise</t>
  </si>
  <si>
    <t>Hong Kong et la Chine font match nul dans un match tendu  .  Match nul 0-0 lors d'une rencontre où l'hymne chinois a été hué et a retenu l'attention</t>
  </si>
  <si>
    <t>L'Iran, prêt à négocier si les sanctions sont levées  .  L'Iran a annoncé qu'il était prêt à négocier avec les États-Unis si Washington lev</t>
  </si>
  <si>
    <t>Le penalty en faveur de la France était injuste : Joachim Löw  .  Joachim Löw, le sélectionneur de l'Allemagne, qui se trouve dans une position délicate après</t>
  </si>
  <si>
    <t>Les États-Unis détrônent la Jamaïque au 100 mètres  .  L'Américaine Tori Bowie a remporté l'or et confirmé la perte de l'hégémonie de l'île des Caraïbes</t>
  </si>
  <si>
    <t xml:space="preserve">Les troupes américaines quitteront l'Afghanistan en 2014 : NY Times  .  Obama envisage le retrait de l'armée, selon des informations communiquées au journal    </t>
  </si>
  <si>
    <t>Maduro annonce la fermeture de l'ambassade et des consulats aux États-Unis  .  Le président du Venezuela, Nicolás Maduro, a annoncé ce jeudi la fermeture de son ambassade</t>
  </si>
  <si>
    <t xml:space="preserve">Les États-Unis offriraient des garanties de sécurité sans précédent à Pyongyang  .  Les États-Unis sont « prêts » à offrir à la Corée du Nord des garanties de sécurité </t>
  </si>
  <si>
    <t>Manuel Monge, de « La rosa de Guadalupe » aux États-Unis  .  L'acteur commence le tournage aux États-Unis de « El buen parricida »</t>
  </si>
  <si>
    <t xml:space="preserve">La police équatorienne saisit de la cocaïne qui devait être acheminée vers l'Espagne  .  Après avoir inspecté trois conteneurs, la police antidrogue a découvert 3,2 tonnes de drogue   </t>
  </si>
  <si>
    <t>L'Iran ne peut pas remplacer la Russie dans l'approvisionnement en gaz de l'UE  .  Rohani souligne que son pays souffre de pénuries en hiver en raison d'un retard dans l'extraction</t>
  </si>
  <si>
    <t>Un nouvel accord commercial entre les États-Unis, le Mexique et le Canada est en cours de finalisation  .  Les États-Unis, le Mexique et le Canada s'apprêtent à conclure cet accord dans les prochains jours</t>
  </si>
  <si>
    <t>La tempête tropicale « Otto » se forme dans les Caraïbes  .  Le phénomène prend naissance ce lundi au large des côtes du Nicaragua et du Costa Rica</t>
  </si>
  <si>
    <t xml:space="preserve">Le désarmement chimique de la Syrie sera possible si les États-Unis renoncent à la force : Poutine  .  Il explique qu’il est difficile de conduire un pays au désarmement unilatéral s’il est menacé    </t>
  </si>
  <si>
    <t xml:space="preserve">Les États-Unis concentreront leur attaque en Syrie sur des cibles militaires  .  L’attaque ne durera que quelques jours et sera menée à l’aide de missiles guidés    </t>
  </si>
  <si>
    <t xml:space="preserve">  </t>
  </si>
  <si>
    <t>La deuxième réunion sur le cessez-le-feu en Syrie est reportée à demain  .  Cela est dû au retard des délégations de la Turquie et de l'opposition syrienne</t>
  </si>
  <si>
    <t>Peña Nieto prépare une tournée en Russie et en Turquie  .  Le président sera absent du pays du 1er au 7 septembre</t>
  </si>
  <si>
    <t>L'Argentine extrade le narcotrafiquant colombien « Mi Sangre » vers les États-Unis  .  La justice américaine le poursuit pour association de malfaiteurs en vue de la distribution de cocaïne ; en 2012, il a été p</t>
  </si>
  <si>
    <t>Les États-Unis autorisent le départ de leur personnel au Népal  .  L'ambassadeur américain dans ce pays peut décider quels groupes d'employés quitteront le pays</t>
  </si>
  <si>
    <t>Les troupes syriennes mettront fin à l'EI avant la fin de l'année : Russie  .  L'armée syrienne reprendra le contrôle de la frontière orientale du pays et</t>
  </si>
  <si>
    <t>Après la publication de données en Chine et aux États-Unis, la BMV ouvre en hausse  .  L'IPC s'établit à 44 876,19 points, soit une hausse de 124,79 points</t>
  </si>
  <si>
    <t>Le Costa Rica ferme son ambassade au Venezuela pendant deux jours  .  Cette fermeture est due aux tensions qui règnent dans les rues de Caracas, a indiqué le ministère des Relations</t>
  </si>
  <si>
    <t>La BMV en hausse, dans un contexte commercial entre les États-Unis et la Chine  .  La Bourse mexicaine (BMV) a ouvert la séance avec une légère hausse de 0,01 %</t>
  </si>
  <si>
    <t>« No se aceptan devoluciones » arrive en Chine et en Inde  .  Les deux pays préparent les formalités pour le « remake » du film d'Eugenio Derbez</t>
  </si>
  <si>
    <t>La Hongrie arrête un autre suspect dans l'affaire de la mort de migrants en Autriche  .  L'homme de nationalité bulgare sera placé en détention pour trafic d'êtres humains</t>
  </si>
  <si>
    <t>Un journal allemand ne publiera pas toutes les données divulguées sur les Panama Papers  .  L'ensemble des 11,5 millions de documents ne sera pas rendu public ni communiqué aux agences de sécurité</t>
  </si>
  <si>
    <t>Le Brésil termine l'année par une large victoire contre la Corée du Sud  .  La Seleção brésilienne a mis fin mardi à une série de cinq matchs sans victoire</t>
  </si>
  <si>
    <t>La France et la Belgique font match nul après la première journée  .  David Goffin et Jo-Wilfried Tsonga sont au sommet de leur art. Tous deux ont été à la hauteur de la com</t>
  </si>
  <si>
    <t>La tempête « Dennis » frappe le Royaume-Uni et la France  .  La tempête « Dennis » a frappé dimanche le Royaume-Uni, avec des pluies torrentielles et des vents violents qui laissent</t>
  </si>
  <si>
    <t>Deux pêcheurs enlevés par Abu Sayyaf ont été secourus aux Philippines  .  Les otages, de nationalité indonésienne, étaient retenus captifs depuis novembre dernier</t>
  </si>
  <si>
    <t>Rosberg est le plus rapide lors des premiers essais libres à Singapour  .  Le pilote de Force India originaire de Guadalajara, Sergio Pérez, a terminé à la 12e place</t>
  </si>
  <si>
    <t>Cuba et les États-Unis affichent des tensions sur les droits de l'homme  .  Raúl Castro et Barack Obama laissent transparaître leurs divergences concernant le blocus économique contre Cuba</t>
  </si>
  <si>
    <t>Un baron de la drogue recherché par les États-Unis a été capturé en Colombie  .  Carlos Enrique Samuels est le chef d'une organisation dédiée au trafic de drogue</t>
  </si>
  <si>
    <t>La « survie en tant que pays » de l'Iran est remise en question : Trump  .  Le président des États-Unis, Donald Trump, a déclaré aujourd'hui que l'Iran était « en difficulté » et</t>
  </si>
  <si>
    <t>Des millions de personnes évacuées et 13 morts après le passage d'un super cyclone en Inde et au Bangladesh  .  L'arrivée aujourd'hui du cyclone « extrêmement violent » Amphan sur la côte est de l'Inde et chez son voisin</t>
  </si>
  <si>
    <t>L'Italie bat la Chine et se qualifie pour les quarts de finale de la Coupe du monde féminine  .  L'Italie s'est qualifiée pour les quarts de finale de la Coupe du monde féminine de football, pour la première fois en 28 ans</t>
  </si>
  <si>
    <t>Le 7-1 de l'Allemagne n'est pas normal : Sabella  .  L'entraîneur de l'Argentine souligne qu'il ne s'agit pas d'un score « normal » pour un duel entre grandes puissances</t>
  </si>
  <si>
    <t>L'Australie envisage de reconnaître Jérusalem comme capitale d'Israël  .  L'Australie envisage de reconnaître Jérusalem comme capitale d'Israël et d'y transférer son ambassade</t>
  </si>
  <si>
    <t>L'auteur du massacre en Nouvelle-Zélande s'est rendu en Bulgarie en novembre  .  Les autorités bulgares ont confirmé vendredi que Brenton Tarrant, le cerveau présumé de</t>
  </si>
  <si>
    <t>L'Éthiopie annonce la fin de son différend frontalier avec l'Érythrée  .  La coalition au pouvoir en Éthiopie a annoncé mardi qu'elle avait décidé d'appliquer</t>
  </si>
  <si>
    <t>La Turquie accuse l'Allemagne de protéger des ennemis du pays. Elle dénonce le fait que ce pays accueille des membres du PKK et des sympathisants de Gülen</t>
  </si>
  <si>
    <t>Le Canada et les États-Unis pourraient conclure un nouvel ALENA dans les 48 heures : Guajardo. Dans les prochaines 48 heures, on saura si le nouvel Accord de libre-échange des Amériques</t>
  </si>
  <si>
    <t>Un but de Messi offre la victoire à l'Argentine face au Brésil  .  L'Argentine s'est imposée 1-0 face au Brésil ce vendredi lors d'un match amical à Riyad, grâce à un but de son capitaine</t>
  </si>
  <si>
    <t>Leopoldo López ne pourrait demander l'asile que s'il se trouvait en Espagne : Borrell  .  Le leader de l'opposition vénézuélienne, Leopoldo López, ne peut en aucun cas demander l'asile politique</t>
  </si>
  <si>
    <t>Des légendes du Brésil disputent un match au profit de Chapecoense  .  Cafu, Rivaldo et Emerson, entre autres, participent à un match aux États-Unis</t>
  </si>
  <si>
    <t>Le Vatican confirme le voyage du pape François en Égypte  .  Malgré les attentats de dimanche, le Souverain Pontife se rendra dans ce pays africain les 28 et 29 ab</t>
  </si>
  <si>
    <t>Poutine offre son soutien à la Grèce pour lutter contre les incendies de forêt  .  Le président russe, Vladimir Poutine, a proposé aujourd’hui au gouvernement grec l’aide de la Russie p</t>
  </si>
  <si>
    <t>Israël approuve une trêve humanitaire de quatre heures à Gaza  .  Un communiqué annonce que le cessez-le-feu commence à 12 h et se termine à 16 h, heure locale</t>
  </si>
  <si>
    <t>Élisabeth II et Wilbur Ross, parmi les personnes impliquées dans une affaire de paradis fiscaux  .  La reine Élisabeth II d'Angleterre, le président colombien Juan Manuel Santos ou les chanteurs Bon</t>
  </si>
  <si>
    <t>Une alerte rouge est lancée au Costa Rica en raison de la tempête « Otto »  .Des évacuations obligatoires sont ordonnées sur la côte nord et à la frontière avec le Nicaragua</t>
  </si>
  <si>
    <t>Le clásico espagnol sera diffusé au Mexique, en Chine et aux États-Unis  .Des événements seront organisés pour le promouvoir ; Christian Karembeu sera à Mexico</t>
  </si>
  <si>
    <t>ARG</t>
  </si>
  <si>
    <t>GLP</t>
  </si>
  <si>
    <t>Dinamarca siempre asusta  .  España acumula dos victorias y buenas sensaciones en este Europeo de Croacia. Está clasificada ya pa</t>
  </si>
  <si>
    <t xml:space="preserve">Corea del Norte ha desarrollado cabezas nucleares que podría incorporar a sus misiles, según estados unidos  .  El régimen de Corea del Norte ha desarrollado con éxito cabezas nucleares en miniatura susceptibles </t>
  </si>
  <si>
    <t>Suiza investiga un posible espionaje en la negociación nuclear entre Irán y el Grupo 5+1  .  El Ministerio Público de la Confederación Helvética ha abierto una investigación "contra desconocido</t>
  </si>
  <si>
    <t>Arabia Saudí bombardea Yemen tras anunciar el fin de los ataques  .  Pocas horas después de anunciar el final de la operación «Tormenta Decisiva», los aviones de la alia</t>
  </si>
  <si>
    <t>«¡Karibu Obama! ¡Karibu Obama!»  .  El presidente de Estados Unidos fue recibido ayer en Kenia, la tierra de su padre, como si de una es</t>
  </si>
  <si>
    <t>El París Saint-Germain campeón de Francia antes de jugar frente al Mónaco  .  El París Saint Germain se proclamó campeón de la Ligue 1 de Francia por octava vez antes de jugar fr</t>
  </si>
  <si>
    <t>Ucrania y Rusia no acercan posturas en el cónclave de Berlín  .  La reunión en Berlín entre los ministros de Exteriores de Ucrania y Rusia, Pavlo Klimkin y Serguéi L</t>
  </si>
  <si>
    <t>Turquía avisa de que la continuidad de Al Assad en Siria enviaría al mundo un mensaje «muy peligroso»  .  La continuidad del presidente sirio, Bashar al Assad, en el poder después de las atrocidades perpetr</t>
  </si>
  <si>
    <t>Estados Unidos considera «positivas y productivas» las conversaciones con Venezuela  .  El Gobierno de Estados Unidos calificó este miércoles de «positivas y productivas» las conversacione</t>
  </si>
  <si>
    <t>Mirotic paga su frustración rompiendo la bandera de Serbia  .  No le sentó bien perder a Nikola Mirotic. El jugador de la selección española, natural de Montenegro</t>
  </si>
  <si>
    <t>Dónde ver el España-Brasil de octavos  .  España ya está en la fase del K. O. en el Mundial de Francia. Se ha trabajado tener un aparente prim</t>
  </si>
  <si>
    <t>La «súper nanny» española cuidará del Príncipe Jorge en Australia y Nueva ZelandaLa «súper nanny» española cuidará del Príncipe Jorge en Australia y Nueva Zelanda  .  Jamás habrían podido imaginar Luis Turrión Aznar y María Teresa Borrallo que sus nombres aparecerían</t>
  </si>
  <si>
    <t>Abdennour entra en la lista de Túnez para el polémico partido ante Togo  .  El seleccionador de fútbol tunecino, Henri Kasparzeck, convocó este martes al defensa central del Va</t>
  </si>
  <si>
    <t xml:space="preserve">El campeón domina la tercera sesión libre  .  El alemán Sebastian Vettel (Red Bull), campeón del Mundial de Fórmula Uno desde el GP de India, fue </t>
  </si>
  <si>
    <t>Merkel anuncia una respuesta «común» de la UE tras el ataque al exespía ruso en Reino Unido  .  La canciller de Alemania, Angela Merkel, ha asegurado que la Unión Europea responderá de forma «comú</t>
  </si>
  <si>
    <t>Detienen a un diplomático boliviano de la era Morales con ocho kilos de cocaína en Argentina  .  En el mediodía de ayer, Diego Vega Ibarra, excónsul de Bolivia en la ciudad salteña de Orán (había s</t>
  </si>
  <si>
    <t>Capturan en Madrid a un exembajador guatemalteco en estados unidos perseguido por delitos electorales  .  El exembajador de Guatemala en estados unidos Julio Ligorría (2013-2015) fue capturado hoy en Madrid por org</t>
  </si>
  <si>
    <t xml:space="preserve">Crece la tensión entre Irán y Arabia Saudí en la víspera de la peregrinación a La Meca  .  La peregrinación anual a La Meca o hach, que cerca de tres millones de fieles musulmanes comenzarán </t>
  </si>
  <si>
    <t>Alemania se prepara para la posible salida de Grecia del Euro si gana Syriza  .  El Gobierno de Angela Merkel estaría preparándose concretamente para una hipotética salida de Grecia</t>
  </si>
  <si>
    <t>Los familiares de las víctimas del avión derribado en Ucrania hace cinco años exigen justicia a Rusia  .  Pese a las acusaciones de la Justicia holandesa y a las evidencias presentadas por el equipo interna</t>
  </si>
  <si>
    <t>Israel reanuda sus incursiones en Gaza tras la tregua  .  El ejército israelí anunció que reanuda las redadas en la Franja de Gaza, donde más de 1.850 palesti</t>
  </si>
  <si>
    <t>Brasil cae en recesión tras sufrir una caída del PIB del 1,9% en el segundo trimestreBrasil cae en recesión tras sufrir una caída del PIB del 1,9% en el segundo trimestre  .  Tras una semana marcada por la incertidumbre que rodea a la economía china, otro peso pesado emergen</t>
  </si>
  <si>
    <t>Crecen un 7,9% las exportaciones, sobre todo a Alemania y Francia  .  A pesar de que la economía en la zona euro vivió un frenazo durante 2014, especialmente en Alemania,</t>
  </si>
  <si>
    <t>Poroshenko cree que mataron a Nemtsov porque tenía pruebas contra Rusia por el conflicto en Ucrania  .  El presidente ucraniano, Petró Poroshenko, afirmó hoy que el asesinado líder opositor liberar ruso B</t>
  </si>
  <si>
    <t>Holanda decide devolver a Ucrania el «Tesoro de Crimea»  .  Un tribunal de Amsterdam ha decidido que debe devolverse a Ucrania una colección histórica de objeto</t>
  </si>
  <si>
    <t>Los palestinos amenazan con dejar las negociaciones en Egipto si Israel no vuelve  .  A lo largo del fin de semana, los grupos armados palestinos han continuado disparando proyectiles co</t>
  </si>
  <si>
    <t>Daesh usó la aplicación rusa Telegram para preparar atentados como el de Barcelona  .  Privado del territorio que llegó a controlar en el califato proclamado en partes de Siria e Irak, Da</t>
  </si>
  <si>
    <t>Alan Gross, una de las «piezas clave» para el deshielo entre las relaciones de estados unidos y Cuba  .  Alan Gross, el contratista estadounidense liberado este miércoles en La Habana tras cinco años preso</t>
  </si>
  <si>
    <t>De Cabo acusa a Díaz Ferrán de tener cuentas en Hong Kong y propiedades en Argentina  .  El empresario Ángel de Cabo ha acusado al ex presidente de la CEOE Gerardo Díaz Ferrán de disponer d</t>
  </si>
  <si>
    <t>Alemania y Francia anuncian un acuerdo para reubicar a 160.000 refugiados  .  El ministro de Interior alemán, Thomas de Maiziere, y su colega francés, Bernard Cazeneuve, han anun</t>
  </si>
  <si>
    <t>Suárez hunde a Inglaterra  .  Uruguay, con la vuelta de Luis Suárez, tiene licencia para soñar. Y mucha. El delantero del Liverpoo</t>
  </si>
  <si>
    <t xml:space="preserve">Austria anuncia el «fin gradual» a la vía libre en la frontera con Hungría  .  El canciller austriaco, Werner Faymann, ha afirmado este domingo que ha llegado el momento de poner </t>
  </si>
  <si>
    <t>Madrid pide medidas para los vuelos procedentes de Brasil y Perú  .  El Gobierno de la Comunidad de Madrid insiste en su petición de aplicar un plan adicional en el Aero</t>
  </si>
  <si>
    <t>La OEA denuncia el apoyo de Rusia y Cuba a Maduro y estudia vías para intervenir  .  Los aliados de Juan Guaidó en el continente americano han acordado este jueves en una sesión extraor</t>
  </si>
  <si>
    <t xml:space="preserve">Rabat abre una crisis diplomática con Francia, su principal aliadoRabat abre una crisis diplomática con Francia, su principal aliado  .  Marruecos anunció ayer que deja en suspenso todos los acuerdos en materia judicial con su principal </t>
  </si>
  <si>
    <t>estados unidos sustituye su veto migratorio por la restricción a ocho países e incluye a Venezuela  .  El presidente de estados unidos, Donald Trump, ha reemplazado su polémico veto migratorio a seis países de m</t>
  </si>
  <si>
    <t>El Vaticano rechaza la Constituyente de Maduro por «hipotecar el futuro»  .  El Vaticano expresó hoy su preocupación y la del Papa por la situación que vive Venezuela e instó al</t>
  </si>
  <si>
    <t>Portugal confirma su primer caso de coronavirus  .  Portugal confirma su primer caso de coronavirus, un hombre de 60 años que había viajado a Italia. Es</t>
  </si>
  <si>
    <t>Moldavia logra mantenerse en la senda europea, pese a los esfuerzos de Rusia  .  Aún está por ver cómo reaccionará Rusia al revés sufrido en Moldavia donde, en contra de lo esperado</t>
  </si>
  <si>
    <t>Mueren 30 civiles por un ataque aéreo al norte de Nigeria, cerca de la frontera con Níger  .  Alrededor de 30 civiles han muerto después de que un avión no identificado lanzase un artefacto expl</t>
  </si>
  <si>
    <t>El mayor operador turístico alemán afirma que España "por el momento" gana con el terrorismo  .  Los empresarios hoteleros sacan partido a la tensión política de Siria y a la presencia de ataques t</t>
  </si>
  <si>
    <t>Antes de la catástrofe (4)  .  En enero de 1973 finalmente estados unidos y Vietnam del Norte alcanzaron un acuerdo de paz. estados unidos pidió que el</t>
  </si>
  <si>
    <t>Putin: «Rusia no se plantea de momento desplegar tropas de combate en Siria»  .  El presidente de Rusia, Vladimir Putin, ha asegurado que Moscú no tiene planes por el momento para d</t>
  </si>
  <si>
    <t>Luciano Supervielle presenta su último disco «Suite para piano y pulso velado» en Madrid  .  En medio de su gira por América del Sur, Italia y México, Luciano Supervielle hace una parada en Mad</t>
  </si>
  <si>
    <t>Fuerzas especiales de Estados Unidos sufren bajas en Afganistán  .  Un número indeterminado de soldados estadounidenses han resultado muertos o heridos en Afganistán, e</t>
  </si>
  <si>
    <t>Explota un artefacto frente a la Embajada de Estados Unidos en Ucrania  .  «El objeto, que fue lanzado hacia el complejo de la Embajada, no podría haber herido a nadie. Por el</t>
  </si>
  <si>
    <t>Una ola de «barcos fantasma» con esqueletos llega a Japón desde Corea del Norte  .  Un pequeño bote de madera arribó el pasado lunes a la playa de Miyazawa, en la costa del noroeste la</t>
  </si>
  <si>
    <t>Putin espera de Macron un «talante nuevo» respecto a Rusia  .  El presidente ruso, Vladímir Putin, no pidió a su homólogo francés, Emmanuel Macron, que le recibier</t>
  </si>
  <si>
    <t>Seis desaparecidos en un choque entre dos aeronaves militares de estados unidos en Japón  .  Seis miembros de la Marina estadounidense están desaparecidos tras el choque de dos aeronaves milita</t>
  </si>
  <si>
    <t>Violentas manifestaciones en Hong Kong para exigir plena democracia a China  .  Tras una semana de huelga estudiantil para pedir democracia, la tensión estalló este domingo en Hong</t>
  </si>
  <si>
    <t>Miss Colombia vs. Miss estados unidos: La inteligencia se impuso a la belleza  .  Cuando de elegir entre las dos mujeres finalistas al título de mayor belleza universal, cualquier pe</t>
  </si>
  <si>
    <t>La reclamación de Ferrari no prospera y Hamilton mantiene la victoria en Canadá  .  La solicitud de Ferrari de optar a un derecho de revisión de la decisión de penalizar al alemán Seba</t>
  </si>
  <si>
    <t xml:space="preserve">Los Reyes de los Países Bajos llegan a Reino Unido  .  La Reina Isabel II ha acogido a los Reyes los Países Bajos en un banquete el martes para la primera </t>
  </si>
  <si>
    <t>Rasmussen: «Existe una alta probabilidad de que Rusia invada Ucrania»  .  Durante una jornada en la que el Gobierno ucraniano ha confirmado que sus soldados están muy cerca d</t>
  </si>
  <si>
    <t>Los bufetes de estados unidos del Canal vuelven a frenar el acuerdoLos bufetes de estados unidos en el Canal vuelven a frenar el acuerdo  .  Todo parecía indicar el pasado martes que la Autoridad del Canal de Panamá (ACP) y el Grupo Unidos p</t>
  </si>
  <si>
    <t>Corea del Sur disparó dos misiles balísticos poco después del último lanzamiento de Corea del Norte  .  El Ejército de Corea del Sur ha asegurado este viernes que disparó dos misiles balísticos poco despu</t>
  </si>
  <si>
    <t xml:space="preserve">Yemen acusa a Al Qaeda del asesinato de un funcionario alemán  .  El Gobierno yemení condenó hoy el asesinato de un ciudadano alemán, encargado de la seguridad en la </t>
  </si>
  <si>
    <t>Corea del Norte y China reafirman su alianza antes del gran desfile militar  .  El líder de Corea del Norte, Kim Jong-un, y el jefe de propaganda de China, Liu Yunshan, reafirmaron</t>
  </si>
  <si>
    <t>Suiza devolverá a Nigeria 380 millones de dólares robados por el expresidente Sani Abacha  .  Suiza ha anunciado la devolución a Nigeria de cerca de 380 millones de dólares que fueron robados po</t>
  </si>
  <si>
    <t xml:space="preserve">Francia lleva a la ONU pruebas de la tortura siria  .  Francia llevó ayer al Consejo de Seguridad de la ONU supuestas pruebas de torturas sistemáticas por </t>
  </si>
  <si>
    <t xml:space="preserve">Un prelado, miembro de la Congregación de los Obispos del Vaticano, defiende el camino sinodal alemán  .  El obispo de Münster y desde hace seis años miembro de la Congregación de los Obispos del Vaticano, </t>
  </si>
  <si>
    <t>Irán se prepara entre huelgas y protestas para la entrada en vigor de las sanciones de estados unidos  .  El Gran Bazar de Teherán ha reabierto sus puertas después de dos días de huelga en señal de protesta</t>
  </si>
  <si>
    <t>Aurora Luque: «Para Goethe, un alemán, Grecia era la raíz de nuestracivlización»  .  Aurora Luque (Almería, 1963) ama el griego, una lengua que le enamora y subyuga. Se mueve por el Oli</t>
  </si>
  <si>
    <t xml:space="preserve">El precio del barril de Brent sube tras el anuncio del acuerdo entre Arabia Saudí y Rusia  .  El precio del barril de petróleo Brent registraba este lunes una subida de casi el 6% espoleado por </t>
  </si>
  <si>
    <t>Trump regala a Israel el traslado de su embajada a Jerusalén en su 70 aniversario  .  Donald Trump cumple una nueva promesa electoral y tras salirse del acuerdo nuclear con Irán, inaugur</t>
  </si>
  <si>
    <t>estados unidos presenta un borrador de resolución de alto el fuego entre Israel y las facciones gazacíes  .  El Gobierno de Estados Unidos ha presentado un borrador de resolución que presentará ante Naciones U</t>
  </si>
  <si>
    <t>La familia iraquí que le ganó el pulso a Trump y podrá entrar en estados unidos  .  Cuando las autoridades aeroportuarias en El Cairo se acercaron a Fuad Sharef y su familia, su hijo B</t>
  </si>
  <si>
    <t>Francia aprovecha los regalos y pasa a cuartosFrancia y Alemania vencen con más dificultades de lo previsto y se verán en cuartos  .  Con mucha más suerte que talento y con más ayudas arbitrales que juego, la selección deFrancia acced</t>
  </si>
  <si>
    <t>estados unidos manifiesta su «profunda decepción» por el asilo de Rusia a Edward Snowden  .  La Casa Blanca ha manifestado este jueves su «profunda decepción» por el asilo temporal concedido po</t>
  </si>
  <si>
    <t>Jamenei publica un póster anti-Israel que evoca los mensajes antisemitas de la «solución final» nazi  .  El líder supremo de Irán, el ayatolá Alí Jamenei, ha matizado este miércoles que «eliminar al régime</t>
  </si>
  <si>
    <t>Guapabox: un «set» de belleza diferente cada mes  .  Las cajitas de belleza que arrasan en Estados Unidos y Japón por fin ha llegado a España. Se trata d</t>
  </si>
  <si>
    <t>Borrell visita la frontera de Grecia con Turquía con el ministro de Exteriores griego  .  El Alto Representante de la UE para Asuntos Exteriores y Política de Seguridad Común, y actual vicep</t>
  </si>
  <si>
    <t>El Ejército sirio asegura que ha derribado un avión militar israelí  .  Las Fuerzas Armadas de Siria han asegurado este viernes que han derribado un avión militar de Israel</t>
  </si>
  <si>
    <t>El Senado da luz verde a alcanzar un acuerdo para la cosoberanía de Gibraltar  .  El PP urge al Gobierno a alcanzar un acuerdo entre el Reino Unido y España sobre Gibraltar basado en</t>
  </si>
  <si>
    <t>Aretha Franklin, Juanes y Andrea Bocelli cantarán para el Papa en Estados Unidos  .  El Papa emprende este sábado 19 de septiembre un viaje de diez días a Cuba y estados unidos, que tendrá un «ev</t>
  </si>
  <si>
    <t>Obama: «El Reino Unido es más fuerte si permanece dentro de la UE»  .  El presidente de Estados Unidos, Barack Obama, ha asegurado que el Reino Unido es «más fuerte» si pe</t>
  </si>
  <si>
    <t xml:space="preserve">«Las amenazas de estados unidos no harán que Siria abandone su lucha»  .  ...    </t>
  </si>
  <si>
    <t>«No veo por qué Israel debe detener sus relaciones con Arabia Saudí tras ese estúpido asesinato»  .  Con casi cuatro décadas a sus espaldas sirviendo al Ejército Israelí, primero, y luego como Asesor d</t>
  </si>
  <si>
    <t>Francia-Portugal: Todo al 7  .  Griezmann contra Cristiano. Francia contra Portugal. El ‘7’ de Francia contra el ‘7’ de Portugal. El</t>
  </si>
  <si>
    <t>Raúl Castro expresa su «total disposición» a seguir avanzando en las relaciones con Estados Unidos  .  El presidente de Cuba, Raúl Castro, ha expresado este viernes su «total disposición» a «seguir avanz</t>
  </si>
  <si>
    <t>Puigdemont sugiere que «próximamente» celebrará en el sur de Francia «todas las victorias judiciales y políticas»  .  Carles Puigdemont sigue moviendo sus fichas desde Waterloo (Bélgica) y, este sábado, a través del Co</t>
  </si>
  <si>
    <t>Hotel Capella, el resort de lujo de Singapur donde se quedará Trump antes de ver a Kim Jong-un  .  La Administración Federal de Aviación de Estados Unidos (FAA, por sus siglas en inglés) ha informado</t>
  </si>
  <si>
    <t>Panamá autoriza dos visados a diplomáticos norcoreanos por el barco con armas  .  El Gobierno de Panamá ha anunciado que ha autorizado dos visados a diplomáticos de Corea del Norte p</t>
  </si>
  <si>
    <t>Rusia mata a siete civiles en sus bombardeos en el norte de Siria  .  Al menos siete civiles murieron en la noche de este jueves, uno de ellos menor de edad, por bombarde</t>
  </si>
  <si>
    <t>El irrepetible momento en el que Luis Suárez reclama penalti por mano... del portero  .  Luis Suárez se ha convertido en objeto de burla por una jugada ocurrida durante el Chile-Uruguay, pa</t>
  </si>
  <si>
    <t>Trump planea retirar 7.000 militares de Afganistán  .  El presidente de estados unidos, Donald Trump, planea retirar de Afganistán a unos 7.000 militares, la mitad</t>
  </si>
  <si>
    <t xml:space="preserve">Cuba presenta las crecenciales a estados unidosy vuelve a tener embajador tras 54 años  .  El hasta ahora jefe de negocios de la embajada de Cuba en Estados Unidos, José Cabañas, entregó hoy </t>
  </si>
  <si>
    <t>Secuestran a dos mujeres occidentales en Nigeria y YemenUn hombre mata a tiros a ocho personas en un restauranteSecuestrana dos mujeres occidentales en Nigeria y Yemen  .  Una misionera estadounidense fue secuestrada el lunes por un grupo de hombres armados en el estado d</t>
  </si>
  <si>
    <t>Trump prepara medidas para cortar la injerencia de Rusia en Venezuela  .  En todas las reuniones que tuvieron recientemente en Washington Juan Guaidó y su equipo con altos f</t>
  </si>
  <si>
    <t>Su miedo y el nuestro  .  Ninguno de los actores en la terrible guerra que desangra Siria es inocente. No lo es Turquía, que b</t>
  </si>
  <si>
    <t>Israel confirma que los misiles lanzados en el Mediterráneo eran un ensayo militar  .  El ministerio de Defensa israelí ha confirmado este mediodía que la alerta dada por Rusia sobre obje</t>
  </si>
  <si>
    <t>La Copa de España de 420 bate récord de participación  .  101 tripulaciones. 202 regatistas. 9 comunidades autónomas. Y hasta ocho equipos de Suiza y Alemania</t>
  </si>
  <si>
    <t>Ucrania devolverá a Holanda cinco lienzos del siglo XVII robados en 2005  .  Las autoridades ucranianas devolverán al Museo Westfries holandés cinco lienzos del siglo XVII robad</t>
  </si>
  <si>
    <t>Cuba completa la liberación acordada con estados unidos de los 53 presos políticos  .  Cuba ha liberado a los 53 presos políticos que debían ser excarcelados como parte del acuerdo de ace</t>
  </si>
  <si>
    <t>El presidente de Uruguay piropea a una periodista: «Eres una pibe irresistible»  .   José Mujica, presidente de Uruguay, tachó de «pibe irresistible» a la periodista Montserrat Álvarez</t>
  </si>
  <si>
    <t>Daesh pierde el 22% de su territorio en Siria e Irak al tiempo que aumenta sus ataques en Europa y África  .  Mientras que Daesh trata de imponer el terror en Europa con ataques simultáneos primero en París y e</t>
  </si>
  <si>
    <t>¿Por qué Trump quiere comprar Groenlandia?  .  ¿Por qué Donald Trump quiere hacer de Groenlandia el 51 estado de estados unidos? Este inmenso territorio he</t>
  </si>
  <si>
    <t xml:space="preserve">Desarticulan una banda de «lanzas» chilenos al que se le atribuyen robos en viviendas en España, Francia e Italia  .  La delegada del Gobierno en Castilla y León, Virginia Barcones, confirmó este jueves que la Guardia </t>
  </si>
  <si>
    <t>DNK HRV</t>
  </si>
  <si>
    <t>CHE IRN</t>
  </si>
  <si>
    <t>USA KEN</t>
  </si>
  <si>
    <t>SRB MNE</t>
  </si>
  <si>
    <t>BRA FRA</t>
  </si>
  <si>
    <t>TUN TGO</t>
  </si>
  <si>
    <t>DEU IND</t>
  </si>
  <si>
    <t>ARG BOL</t>
  </si>
  <si>
    <t>DEU GRC</t>
  </si>
  <si>
    <t>BRA CHN</t>
  </si>
  <si>
    <t>NLD UKR</t>
  </si>
  <si>
    <t>HKG ARG</t>
  </si>
  <si>
    <t>GBR URY</t>
  </si>
  <si>
    <t>AUT HUN</t>
  </si>
  <si>
    <t>BRA PER</t>
  </si>
  <si>
    <t>RUS CUB</t>
  </si>
  <si>
    <t>VAT VEN</t>
  </si>
  <si>
    <t>PRT ITA</t>
  </si>
  <si>
    <t>NGA NER</t>
  </si>
  <si>
    <t>ITA MEX</t>
  </si>
  <si>
    <t>USA PAN</t>
  </si>
  <si>
    <t>YEM DEU</t>
  </si>
  <si>
    <t>PRK CHN</t>
  </si>
  <si>
    <t>CHE NGA</t>
  </si>
  <si>
    <t>GIB GBR</t>
  </si>
  <si>
    <t>ISR SAU</t>
  </si>
  <si>
    <t>FRA PRT</t>
  </si>
  <si>
    <t>PAN PRK</t>
  </si>
  <si>
    <t>NGA YEM</t>
  </si>
  <si>
    <t>ISR RUS</t>
  </si>
  <si>
    <t>CHE DEU</t>
  </si>
  <si>
    <t>UKR NLD</t>
  </si>
  <si>
    <t>URY MSR</t>
  </si>
  <si>
    <t>GRL USA</t>
  </si>
  <si>
    <t>Le Danemark fait toujours peur. L'Espagne compte deux victoires et laisse une bonne impression dans ce Championnat d'Europe en Croatie. Elle est déjà qualifiée pour</t>
  </si>
  <si>
    <t xml:space="preserve">La Corée du Nord a mis au point des ogives nucléaires qu'elle pourrait intégrer à ses missiles, selon les États-Unis  .  Le régime nord-coréen a réussi à développer des ogives nucléaires miniatures susceptibles </t>
  </si>
  <si>
    <t>La Suisse enquête sur un éventuel espionnage dans le cadre des négociations sur le nucléaire entre l'Iran et le Groupe 5+1  .  Le Ministère public de la Confédération helvétique a ouvert une enquête « contre X »</t>
  </si>
  <si>
    <t>L'Arabie saoudite bombarde le Yémen après avoir annoncé la fin des attaques  .  Quelques heures après avoir annoncé la fin de l'opération « Tempête décisive », les avions de l'alliance</t>
  </si>
  <si>
    <t>« Karibu Obama ! Karibu Obama ! »  .  Le président des États-Unis a été accueilli hier au Kenya, la terre de son père, comme s'il s'agissait d'une</t>
  </si>
  <si>
    <t>Le Paris Saint-Germain sacré champion de France avant même d’affronter Monaco  .  Le Paris Saint-Germain a été sacré champion de Ligue 1 pour la huitième fois avant même de disputer le match contre</t>
  </si>
  <si>
    <t>L’Ukraine et la Russie ne parviennent pas à se rapprocher lors du sommet de Berlin  .  La réunion à Berlin entre les ministres des Affaires étrangères ukrainien et russe, Pavlo Klimkin et Sergueï L</t>
  </si>
  <si>
    <t>La Turquie prévient que le maintien d'Al-Assad en Syrie enverrait un message « très dangereux » au monde  .  Le maintien au pouvoir du président syrien, Bachar al-Assad, après les atrocités perpétrées</t>
  </si>
  <si>
    <t>Les États-Unis jugent « positives et productives » les discussions avec le Venezuela  .  Le gouvernement américain a qualifié mercredi de « positives et productives » les discussions</t>
  </si>
  <si>
    <t>Mirotic exprime sa frustration en déchirant le drapeau serbe  .  Nikola Mirotic n’a pas bien pris la défaite. Le joueur de l’équipe d’Espagne, originaire du Monténégro</t>
  </si>
  <si>
    <t>Où voir le match Espagne-Brésil des huitièmes de finale  .  L’Espagne est déjà en phase à élimination directe de la Coupe du monde en France. Elle a travaillé pour avoir un premier</t>
  </si>
  <si>
    <t>La « super nounou » espagnole s'occupera du prince George en Australie et en Nouvelle-ZélandeLa « super nounou » espagnole s'occupera du prince George en Australie et en Nouvelle-Zélande  .  Luis Turrión Aznar et María Teresa Borrallo n'auraient jamais pu imaginer que leurs noms apparaîtraient</t>
  </si>
  <si>
    <t>Abdennour fait partie de la sélection tunisienne pour le match controversé contre le Togo  .  Le sélectionneur tunisien de football, Henri Kasparzeck, a convoqué ce mardi le défenseur central de Va</t>
  </si>
  <si>
    <t xml:space="preserve">Le champion domine la troisième séance d'essais libres  .  L'Allemand Sebastian Vettel (Red Bull), champion du monde de Formule 1 depuis le GP d'Inde, a été </t>
  </si>
  <si>
    <t>Merkel annonce une réponse « commune » de l'UE après l'attaque contre l'ancien espion russe au Royaume-Uni  .  La chancelière allemande, Angela Merkel, a assuré que l’Union européenne répondrait de manière « commune »</t>
  </si>
  <si>
    <t>Un diplomate bolivien de l’ère Morales a été arrêté avec huit kilos de cocaïne en Argentine. Hier midi, Diego Vega Ibarra, ancien consul de Bolivie dans la ville d’Orán, dans la province de Salta (il avait</t>
  </si>
  <si>
    <t>Un ancien ambassadeur du Guatemala aux États-Unis, recherché pour des délits électoraux, a été arrêté à Madrid  .  L'ancien ambassadeur du Guatemala aux États-Unis, Julio Ligorría (2013-2015), a été arrêté aujourd'hui à Madrid par des org</t>
  </si>
  <si>
    <t xml:space="preserve">La tension monte entre l’Iran et l’Arabie saoudite à la veille du pèlerinage à La Mecque  .  Le pèlerinage annuel à La Mecque, ou hadj, que près de trois millions de fidèles musulmans commenceront </t>
  </si>
  <si>
    <t>L’Allemagne se prépare à une éventuelle sortie de la Grèce de la zone euro si Syriza l’emporte  .  Le gouvernement d’Angela Merkel se préparerait concrètement à une hypothétique sortie de la Grèce</t>
  </si>
  <si>
    <t>Les proches des victimes de l'avion abattu en Ukraine il y a cinq ans réclament justice à la Russie  .  Malgré les accusations de la justice néerlandaise et les preuves présentées par l'équipe interne</t>
  </si>
  <si>
    <t>Israël reprend ses incursions à Gaza après la trêve  .  L'armée israélienne a annoncé la reprise des raids dans la bande de Gaza, où plus de 1 850 Palestiniens</t>
  </si>
  <si>
    <t>Le Brésil entre en récession après avoir subi une baisse du PIB de 1,9 % au deuxième trimestre. Le Brésil entre en récession après avoir subi une baisse du PIB de 1,9 % au deuxième trimestre. Après une semaine marquée par l'incertitude entourant l'économie chinoise, un autre poids lourd émerge</t>
  </si>
  <si>
    <t>Les exportations progressent de 7,9 %, notamment vers l'Allemagne et la France  .  Bien que l'économie de la zone euro ait connu un ralentissement en 2014, en particulier en Allemagne,</t>
  </si>
  <si>
    <t>Porochenko estime que Nemtsov a été assassiné parce qu'il détenait des preuves contre la Russie concernant le conflit en Ukraine  .  Le président ukrainien, Petro Porochenko, a déclaré aujourd'hui que le leader de l'opposition assassiné, le Russe B</t>
  </si>
  <si>
    <t>Les Pays-Bas décident de restituer à l’Ukraine le « Trésor de Crimée »  .  Un tribunal d’Amsterdam a décidé qu’une collection historique d’objets devait être restituée à l’Ukraine</t>
  </si>
  <si>
    <t>Les Palestiniens menacent de quitter les négociations en Égypte si Israël ne revient pas  .  Tout au long du week-end, les groupes armés palestiniens ont continué à tirer des roquettes</t>
  </si>
  <si>
    <t>Daech a utilisé l’application russe Telegram pour préparer des attentats comme celui de Barcelone  .  Privé du territoire qu’il contrôlait dans le califat proclamé dans certaines parties de la Syrie et de l’Irak, Da</t>
  </si>
  <si>
    <t>Alan Gross, l’un des « éléments clés » du dégel des relations entre les États-Unis et Cuba  .  Alan Gross, le contractant américain libéré ce mercredi à La Havane après cinq ans de prison</t>
  </si>
  <si>
    <t>De Cabo accuse Díaz Ferrán de posséder des comptes à Hong Kong et des biens en Argentine  .  L’homme d’affaires Ángel de Cabo a accusé l’ancien président de la CEOE, Gerardo Díaz Ferrán, de disposer de</t>
  </si>
  <si>
    <t>L'Allemagne et la France annoncent un accord pour reloger 160 000 réfugiés  .  Le ministre allemand de l'Intérieur, Thomas de Maizière, et son homologue français, Bernard Cazeneuve, ont annoncé</t>
  </si>
  <si>
    <t>Suárez coule l'Angleterre  .  L'Uruguay, avec le retour de Luis Suárez, a le droit de rêver. Et beaucoup. L'attaquant de Liverpool</t>
  </si>
  <si>
    <t xml:space="preserve">L'Autriche annonce la « fin progressive » de la libre circulation à la frontière avec la Hongrie  .  Le chancelier autrichien, Werner Faymann, a déclaré ce dimanche que le moment était venu de mettre </t>
  </si>
  <si>
    <t>Madrid demande des mesures pour les vols en provenance du Brésil et du Pérou  .  Le gouvernement de la Communauté de Madrid insiste sur sa demande de mettre en place un plan supplémentaire à l'aéroport</t>
  </si>
  <si>
    <t>L'OEA dénonce le soutien de la Russie et de Cuba à Maduro et étudie les moyens d'intervenir  .  Les alliés de Juan Guaidó sur le continent américain se sont mis d'accord ce jeudi lors d'une session extraordinaire</t>
  </si>
  <si>
    <t xml:space="preserve">Rabat déclenche une crise diplomatique avec la France, son principal alliéRabat déclenche une crise diplomatique avec la France, son principal allié  .  Le Maroc a annoncé hier qu'il suspendait tous les accords en matière judiciaire avec son principal </t>
  </si>
  <si>
    <t>Les États-Unis remplacent leur veto migratoire par une restriction visant huit pays et incluent le Venezuela  .  Le président des États-Unis, Donald Trump, a remplacé son veto migratoire controversé visant six pays d'</t>
  </si>
  <si>
    <t>Le Vatican rejette l'Assemblée constituante de Maduro pour « hypothéquer l'avenir »  .  Le Vatican a exprimé aujourd'hui sa préoccupation et celle du pape face à la situation que vit le Venezuela et a exhorté le</t>
  </si>
  <si>
    <t>Le Portugal confirme son premier cas de coronavirus  .  Le Portugal confirme son premier cas de coronavirus, un homme de 60 ans qui s'était rendu en Italie. C'est</t>
  </si>
  <si>
    <t>La Moldavie parvient à rester sur la voie européenne, malgré les efforts de la Russie  .  Il reste à voir comment la Russie réagira au revers subi en Moldavie où, contrairement aux attentes</t>
  </si>
  <si>
    <t>Trente civils tués lors d’une frappe aérienne dans le nord du Nigeria, près de la frontière avec le Niger  .  Une trentaine de civils ont trouvé la mort après qu’un avion non identifié a largué un engin explosif</t>
  </si>
  <si>
    <t>Le plus grand voyagiste allemand affirme que l’Espagne « pour l’instant » tire profit du terrorisme  .  Les hôteliers profitent des tensions politiques en Syrie et de la présence d’attaques t</t>
  </si>
  <si>
    <t>Avant la catastrophe (4)  .  En janvier 1973, les États-Unis et le Nord-Vietnam ont finalement conclu un accord de paix. Les États-Unis ont demandé que le</t>
  </si>
  <si>
    <t>Poutine : « La Russie n'envisage pas pour l'instant de déployer des troupes de combat en Syrie »  .  Le président russe, Vladimir Poutine, a assuré que Moscou n'avait pour l'instant aucun projet de d</t>
  </si>
  <si>
    <t>Luciano Supervielle présente son dernier album « Suite pour piano et pulsation voilée » à Madrid  .  Au milieu de sa tournée en Amérique du Sud, en Italie et au Mexique, Luciano Supervielle fait une halte à Mad</t>
  </si>
  <si>
    <t>Les forces spéciales américaines subissent des pertes en Afghanistan. Un nombre indéterminé de soldats américains ont été tués ou blessés en Afghanistan, et</t>
  </si>
  <si>
    <t>Un engin explose devant l’ambassade des États-Unis en Ukraine. « L’objet, qui a été lancé en direction du complexe de l’ambassade, n’aurait pu blesser personne. Par le</t>
  </si>
  <si>
    <t>Une vague de « bateaux fantômes » transportant des squelettes arrive au Japon en provenance de Corée du Nord  .  Un petit bateau en bois a échoué lundi dernier sur la plage de Miyazawa, sur la côte nord-ouest de la</t>
  </si>
  <si>
    <t>Poutine attend de Macron une « nouvelle attitude » envers la Russie  .  Le président russe, Vladimir Poutine, n’a pas demandé à son homologue français, Emmanuel Macron, de le recevoir</t>
  </si>
  <si>
    <t>Six disparus dans une collision entre deux avions militaires américains au Japon  .  Six membres de la marine américaine sont portés disparus après la collision de deux avions militaires</t>
  </si>
  <si>
    <t>Violentes manifestations à Hong Kong pour exiger une démocratie totale de la part de la Chine  .  Après une semaine de grève étudiante pour réclamer la démocratie, la tension a éclaté ce dimanche à Hong</t>
  </si>
  <si>
    <t>Miss Colombie contre Miss États-Unis : l'intelligence l'a emporté sur la beauté  .  Lorsqu'il s'agit de choisir entre les deux finalistes au titre de plus belle femme du monde, n'importe quel</t>
  </si>
  <si>
    <t>La réclamation de Ferrari n'aboutit pas et Hamilton conserve sa victoire au Canada  .  La demande de Ferrari visant à obtenir un droit de révision de la décision de pénaliser l'Allemand Sebastian</t>
  </si>
  <si>
    <t xml:space="preserve">Le roi et la reine des Pays-Bas arrivent au Royaume-Uni  .  La reine Élisabeth II a accueilli le roi et la reine des Pays-Bas lors d’un banquet mardi pour la première </t>
  </si>
  <si>
    <t>Rasmussen : « Il y a une forte probabilité que la Russie envahisse l’Ukraine »  .  Au cours d’une journée où le gouvernement ukrainien a confirmé que ses soldats se trouvaient tout près de</t>
  </si>
  <si>
    <t>Les cabinets d'avocats américains du Canal freinent à nouveau l'accordLes cabinets d'avocats américains du Canal freinent à nouveau l'accord  .  Tout semblait indiquer mardi dernier que l'Autorité du canal de Panama (ACP) et le groupe Unidos p</t>
  </si>
  <si>
    <t>La Corée du Sud a tiré deux missiles balistiques peu après le dernier tir de la Corée du Nord  .  L'armée sud-coréenne a affirmé ce vendredi avoir tiré deux missiles balistiques peu après</t>
  </si>
  <si>
    <t xml:space="preserve">Le Yémen accuse Al-Qaïda du meurtre d'un fonctionnaire allemand  .  Le gouvernement yéménite a condamné aujourd'hui l'assassinat d'un citoyen allemand, responsable de la sécurité au </t>
  </si>
  <si>
    <t>La Corée du Nord et la Chine réaffirment leur alliance avant le grand défilé militaire  .  Le dirigeant nord-coréen, Kim Jong-un, et le chef de la propagande chinoise, Liu Yunshan, ont réaffirmé</t>
  </si>
  <si>
    <t>La Suisse restituera au Nigeria 380 millions de dollars détournés par l'ancien président Sani Abacha  .  La Suisse a annoncé la restitution au Nigeria de près de 380 millions de dollars qui avaient été détournés par</t>
  </si>
  <si>
    <t xml:space="preserve">La France présente à l'ONU des preuves de tortures en Syrie  .  La France a présenté hier au Conseil de sécurité de l'ONU des preuves présumées de tortures systématiques par </t>
  </si>
  <si>
    <t xml:space="preserve">Un prélat, membre de la Congrégation des évêques du Vatican, défend la voie synodale allemande  .  L'évêque de Münster, membre depuis six ans de la Congrégation des évêques du Vatican, </t>
  </si>
  <si>
    <t>L'Iran se prépare, entre grèves et manifestations, à l'entrée en vigueur des sanctions américaines  .  Le Grand Bazar de Téhéran a rouvert ses portes après deux jours de grève en signe de protestation</t>
  </si>
  <si>
    <t>Aurora Luque : « Pour Goethe, un Allemand, la Grèce était la racine de notre civilisation »  .  Aurora Luque (Almería, 1963) aime le grec, une langue qui la fascine et la captive. Elle évolue dans l'Oli</t>
  </si>
  <si>
    <t xml:space="preserve">Le prix du baril de Brent augmente après l'annonce de l'accord entre l'Arabie saoudite et la Russie  .  Le prix du baril de Brent a enregistré ce lundi une hausse de près de 6 %, stimulé par </t>
  </si>
  <si>
    <t>Trump offre à Israël le transfert de son ambassade à Jérusalem à l'occasion de son 70e anniversaire  .  Donald Trump tient une nouvelle promesse électorale et, après s'être retiré de l'accord sur le nucléaire avec l'Iran, inaugure</t>
  </si>
  <si>
    <t>Les États-Unis présentent un projet de résolution de cessez-le-feu entre Israël et les factions gazaouies  .  Le gouvernement américain a présenté un projet de résolution qu’il soumettra aux Nations U</t>
  </si>
  <si>
    <t>La famille irakienne qui a eu le dernier mot face à Trump et pourra entrer aux États-Unis. Lorsque les autorités aéroportuaires du Caire se sont approchées de Fuad Sharef et de sa famille, son fils B</t>
  </si>
  <si>
    <t>La France profite des cadeaux et se qualifie pour les quarts de finale. La France et l'Allemagne s'imposent avec plus de difficultés que prévu et se retrouveront en quarts de finale. Avec bien plus de chance que de talent et grâce à davantage d'aides arbitrales qu'à son jeu, la sélection française accède</t>
  </si>
  <si>
    <t>Les États-Unis expriment leur « profonde déception » face à l'asile accordé par la Russie à Edward Snowden.  La Maison Blanche a exprimé ce jeudi sa « profonde déception » face à l’asile temporaire accordé par</t>
  </si>
  <si>
    <t>Khamenei publie une affiche anti-Israël qui évoque les messages antisémites de la « solution finale » nazie  .  Le guide suprême de l’Iran, l’ayatollah Ali Khamenei, a précisé ce mercredi que « l’élimination du régime</t>
  </si>
  <si>
    <t>Guapabox : un « coffret » de beauté différent chaque mois  .  Les coffrets beauté qui font fureur aux États-Unis et au Japon sont enfin arrivés en Espagne. Il s'agit de</t>
  </si>
  <si>
    <t>Borrell se rend à la frontière gréco-turque avec le ministre grec des Affaires étrangères  .  Le haut représentant de l'UE pour les affaires étrangères et la politique de sécurité commune, et actuel vice-président de la Commission européenne,</t>
  </si>
  <si>
    <t>L'armée syrienne affirme avoir abattu un avion militaire israélien  .  Les forces armées syriennes ont affirmé vendredi avoir abattu un avion militaire israélien</t>
  </si>
  <si>
    <t>Le Sénat donne son feu vert à la conclusion d'un accord sur la cosouveraineté de Gibraltar  .  Le PP exhorte le gouvernement à conclure un accord entre le Royaume-Uni et l'Espagne sur Gibraltar, fondé sur</t>
  </si>
  <si>
    <t>Aretha Franklin, Juanes et Andrea Bocelli chanteront pour le pape aux États-Unis  .  Le pape entame ce samedi 19 septembre un voyage de dix jours à Cuba et aux États-Unis, qui aura un «ev</t>
  </si>
  <si>
    <t>Obama : « Le Royaume-Uni est plus fort s’il reste au sein de l’UE »  .  Le président des États-Unis, Barack Obama, a affirmé que le Royaume-Uni est « plus fort » s’il</t>
  </si>
  <si>
    <t xml:space="preserve">« Les menaces des États-Unis ne feront pas renoncer la Syrie à son combat »  .  ...    </t>
  </si>
  <si>
    <t>« Je ne vois pas pourquoi Israël devrait rompre ses relations avec l’Arabie saoudite après ce stupide assassinat »  .  Avec près de quatre décennies passées au service de l’armée israélienne, d’abord, puis en tant que conseiller d</t>
  </si>
  <si>
    <t>France-Portugal : tout se joue sur le numéro 7  .  Griezmann contre Cristiano. La France contre le Portugal. Le « 7 » français contre le « 7 » portugais. Le</t>
  </si>
  <si>
    <t>L'hôtel Capella, le complexe de luxe de Singapour où Trump séjournera avant de rencontrer Kim Jong-un  .  L'Administration fédérale de l'aviation des États-Unis (FAA) a indiqué</t>
  </si>
  <si>
    <t>Le Panama accorde deux visas à des diplomates nord-coréens en raison du navire transportant des armes  .  Le gouvernement panaméen a annoncé avoir accordé deux visas à des diplomates nord-coréens p</t>
  </si>
  <si>
    <t>La Russie tue sept civils lors de ses bombardements dans le nord de la Syrie  .  Au moins sept civils ont été tués dans la nuit de jeudi, dont un mineur, lors de bombardements</t>
  </si>
  <si>
    <t>Le moment unique où Luis Suárez réclame un penalty pour une main… du gardien  .  Luis Suárez est devenu la risée du public à cause d’une action survenue lors du match Chili-Uruguay, pa</t>
  </si>
  <si>
    <t>Trump prévoit de retirer 7 000 soldats d'Afghanistan  .  Le président des États-Unis, Donald Trump, prévoit de retirer environ 7 000 soldats d'Afghanistan, soit la moitié</t>
  </si>
  <si>
    <t>Deux femmes occidentales enlevées au Nigeria et au YémenUn homme abat huit personnes dans un restaurantDeux femmes occidentales enlevées au Nigeria et au Yémen  .  Une missionnaire américaine a été enlevée lundi par un groupe d'hommes armés dans l'État de</t>
  </si>
  <si>
    <t>Trump prépare des mesures pour mettre fin à l'ingérence de la Russie au Venezuela  .  Lors de toutes les réunions que Juan Guaidó et son équipe ont eues récemment à Washington avec de hauts f</t>
  </si>
  <si>
    <t>Leur peur et la nôtre  .  Aucun des acteurs de la terrible guerre qui saigne à blanc la Syrie n'est innocent. La Turquie ne l'est pas, qui b</t>
  </si>
  <si>
    <t>Israël confirme que les missiles lancés en Méditerranée étaient un essai militaire  .  Le ministère israélien de la Défense a confirmé ce midi que l'alerte donnée par la Russie concernant des objets</t>
  </si>
  <si>
    <t>La Coupe d'Espagne de 420 bat un record de participation  .  101 équipages. 202 régatiers. 9 communautés autonomes. Et jusqu'à huit équipes venues de Suisse et d'Allemagne</t>
  </si>
  <si>
    <t>L'Ukraine restituera aux Pays-Bas cinq toiles du XVIIe siècle volées en 2005  .  Les autorités ukrainiennes restitueront au musée Westfries néerlandais cinq toiles du XVIIe siècle volées</t>
  </si>
  <si>
    <t>Cuba achève la libération des 53 prisonniers politiques convenue avec les États-Unis  .  Cuba a libéré les 53 prisonniers politiques qui devaient être remis en liberté dans le cadre de l'accord de paix</t>
  </si>
  <si>
    <t>Le président de l'Uruguay fait un compliment à une journaliste : « Tu es une fille irrésistible »  .   José Mujica, président de l’Uruguay, a qualifié la journaliste Montserrat Álvarez de « fille irrésistible »</t>
  </si>
  <si>
    <t>Daech perd 22 % de son territoire en Syrie et en Irak tout en intensifiant ses attaques en Europe et en Afrique  .  Alors que Daech tente d’imposer la terreur en Europe avec des attaques simultanées d’abord à Paris et e</t>
  </si>
  <si>
    <t>Pourquoi Trump veut-il acheter le Groenland ?  .  Pourquoi Donald Trump veut-il faire du Groenland le 51e État des États-Unis ? Cet immense territoire a</t>
  </si>
  <si>
    <t>Démantèlement d'un gang de « lanceurs » chiliens à qui l'on attribue des cambriolages en Espagne, en France et en Italie  .  La déléguée du gouvernement en Castille-et-León, Virginia Barcones, a confirmé ce jeudi que la Garde</t>
  </si>
  <si>
    <t>Puigdemont suggère qu’il célébrera « prochainement » dans le sud de la France « toutes les victoires judiciaires et politiques ».  Carles Puigdemont continue de manœuvrer depuis Waterloo (Belgique) et, ce samedi, via le Co</t>
  </si>
  <si>
    <t xml:space="preserve">Raúl Castro exprime sa « totale disposition » à continuer de faire progresser les relations avec les États-Unis  .   Le président cubain, Raúl Castro, a exprimé ce vendredi sa « totale disposition » à « continuer à faire avancer » les relations avec les États-Unis.  </t>
  </si>
  <si>
    <t xml:space="preserve">Cuba présente ses lettres de créance aux États-Unis et a de nouveau un ambassadeur après 54 ans  .José Cabañas, jusqu'à présent chef des affaires de l'ambassade de Cuba aux États-Unis, a remis aujourd'hui </t>
  </si>
  <si>
    <t>MSR</t>
  </si>
  <si>
    <t xml:space="preserve">インド首相、圧勝も危うさ　パキスタン空爆を猛アピール  .  </t>
  </si>
  <si>
    <t xml:space="preserve">中国、米国に「航行の自由作戦」中止要求 安保対話で溝  .  </t>
  </si>
  <si>
    <t xml:space="preserve">中国とベトナム、軍の行動抑制で合意　南シナ海問題  .  </t>
  </si>
  <si>
    <t xml:space="preserve">イラクで米国人３人誘拐か　現地報道「車で連れ去り」  .  </t>
  </si>
  <si>
    <t xml:space="preserve">イスラエル・トルコ、関係正常化で合意　大使派遣へ  .  </t>
  </si>
  <si>
    <t xml:space="preserve">＜ZDNet Japan＞日本の景気回復に黄信号、欧州や中国も悪化--好調なのは米国だけか  .  </t>
  </si>
  <si>
    <t xml:space="preserve">シリア攻撃に踏み切った米欧、ロシアと偶発的衝突も危惧  .  </t>
  </si>
  <si>
    <t xml:space="preserve">中国本土と台湾結ぶ高速鉄道計画？　全人代で波紋呼ぶ  .  </t>
  </si>
  <si>
    <t xml:space="preserve">＜ZDNet Japan＞米国の大手タイヤメーカー、EIM製品を採用--単一基盤での情報管理を実現  .  </t>
  </si>
  <si>
    <t xml:space="preserve">ガザで大規模デモ、１５人死亡　イスラエル軍が砲撃  .  </t>
  </si>
  <si>
    <t xml:space="preserve">中国・習近平主席、台湾の野党主席と会談  .  </t>
  </si>
  <si>
    <t xml:space="preserve">シリア・ダマスカス近郊で爆発　イスラエル軍の攻撃か  .  </t>
  </si>
  <si>
    <t>宇宙大国へ中国誇示　月面探査、米国は台頭警戒  .  　</t>
  </si>
  <si>
    <t xml:space="preserve">イラン大統領「米国は正気失った」　経済制裁に猛反発  .  </t>
  </si>
  <si>
    <t xml:space="preserve">韓国白書「韓日が価値共有」の文言削除　順序は中国の次  .  </t>
  </si>
  <si>
    <t xml:space="preserve">侮辱禁止にしたら…中国国歌に止まらぬブーイング　香港  .  </t>
  </si>
  <si>
    <t xml:space="preserve">インド警察を武装集団襲撃、７人死亡　パキスタン国境  .  </t>
  </si>
  <si>
    <t xml:space="preserve">ロシア・ウクライナ首脳、連日の電話協議　停戦後３度目  .  </t>
  </si>
  <si>
    <t xml:space="preserve">サッカー男子、ブラジルが初の金　ドイツとのＰＫ戦制す  .  </t>
  </si>
  <si>
    <t xml:space="preserve">シリア難民男児、父が明かした最期　カナダで追悼集会  .  </t>
  </si>
  <si>
    <t xml:space="preserve">シリア大統領、ロシア訪問　プーチン氏と極秘裏会談  .  </t>
  </si>
  <si>
    <t xml:space="preserve">北朝鮮の渡航禁止、韓国「１人例外にして」　五輪代表団  .  </t>
  </si>
  <si>
    <t xml:space="preserve">香港の学生が授業ボイコット　選挙改革めぐり中国に反発  .  </t>
  </si>
  <si>
    <t xml:space="preserve">マレーシア首相、国交断絶は否定　対北朝鮮、歩み寄りも  .  </t>
  </si>
  <si>
    <t xml:space="preserve">ブラジル、韓国に勝利　サッカー女子Ｗ杯、仏も白星発進  .  </t>
  </si>
  <si>
    <t xml:space="preserve">盗難旅券で搭乗２人はイラン人　マレーシア機不明  .  </t>
  </si>
  <si>
    <t xml:space="preserve">中国、北朝鮮に核実験を抗議　「国際社会の期待に背く」  .  </t>
  </si>
  <si>
    <t xml:space="preserve">６３％、中国は「脅威」　韓国のシンクタンク世論調査  .  </t>
  </si>
  <si>
    <t xml:space="preserve">北朝鮮、副首相処刑　会議中の態度を問題視　韓国発表  .  </t>
  </si>
  <si>
    <t xml:space="preserve">北朝鮮、韓国へビラ散布を準備　「無差別に覆い尽くす」  .  </t>
  </si>
  <si>
    <t xml:space="preserve">マレーシア機のブラックボックス？　中国船が音波探知  .  </t>
  </si>
  <si>
    <t xml:space="preserve">イランが米国人男性を拘束　さらなる関係悪化の可能性  .  </t>
  </si>
  <si>
    <t xml:space="preserve">「中国バッシングは政治的理由」退任した米国務省前幹部  .  </t>
  </si>
  <si>
    <t xml:space="preserve">中国外相、米軍のＴＨＡＡＤ配備に反対　韓国外相と会談  .  </t>
  </si>
  <si>
    <t xml:space="preserve">＜ZDNet Japan＞ロシアと中国、サイバーセキュリティ協定に調印--互いに攻撃しないと約束  .  </t>
  </si>
  <si>
    <t xml:space="preserve">シリアでロシア製クラスター爆弾使用　人権団体が確認  .  </t>
  </si>
  <si>
    <t xml:space="preserve">遅れたビデオ判定、壊れた試合　イラン―ポルトガル戦  .  </t>
  </si>
  <si>
    <t xml:space="preserve">中国漁船体当たり、韓国当局のボート転覆　取り締まり中  .  </t>
  </si>
  <si>
    <t xml:space="preserve">台湾開催のスポーツ大会中止に　「中国側の圧力」と反発  .  </t>
  </si>
  <si>
    <t xml:space="preserve">正男氏殺害伝えるビラ、北朝鮮に飛ばす計画　韓国の団体  .  </t>
  </si>
  <si>
    <t xml:space="preserve">北朝鮮、建国行事直前に訪朝打診　韓国は政治利用を懸念  .  </t>
  </si>
  <si>
    <t xml:space="preserve">北朝鮮の鉄道、１００年前の設備そのまま　韓国政府公表  .  </t>
  </si>
  <si>
    <t xml:space="preserve">＜CNET Japan＞シンガポール国立大学が米国にコワーキングスペースを新設--アジアとの“ハブ”目指す  .  </t>
  </si>
  <si>
    <t xml:space="preserve">北朝鮮、核施設の稼働を表明　韓国に対する神経戦か  .  </t>
  </si>
  <si>
    <t xml:space="preserve">中国で当局批判の学者ら、失踪相次ぐ？　香港で抗議デモ  .  </t>
  </si>
  <si>
    <t xml:space="preserve">中国の競泳選手「日本国歌は不快」　香港メディア報道  .  </t>
  </si>
  <si>
    <t xml:space="preserve">ウクライナ首相、安保理でロシア非難　「国連憲章違反」  .  </t>
  </si>
  <si>
    <t xml:space="preserve">映像に北朝鮮の船舶？　韓国側の「捜索」説明成り立たず  .  </t>
  </si>
  <si>
    <t>北朝鮮「韓国のスパイを逮捕」　批判強める可能性  .  　</t>
  </si>
  <si>
    <t xml:space="preserve">日中韓サミット、開催に黄信号　中国は沈黙、韓国は混乱  .  </t>
  </si>
  <si>
    <t xml:space="preserve">ホンジュラスの空港でシリア人逮捕　偽装旅券所持か  .  </t>
  </si>
  <si>
    <t xml:space="preserve">「ロシアに入れば、ここは死ぬ」　ウクライナの州知事  .  </t>
  </si>
  <si>
    <t xml:space="preserve">ラグビーＷ杯、台風の犠牲者に選手黙とう　米国―トンガ  .  </t>
  </si>
  <si>
    <t xml:space="preserve">ロシア機墜落「調査に数カ月か」　エジプト大統領  .  </t>
  </si>
  <si>
    <t xml:space="preserve">韓国大統領「日米韓軍事同盟は望ましくない」　対北朝鮮  .  </t>
  </si>
  <si>
    <t xml:space="preserve">トルコ軍の車列に空爆　政権軍との緊張高まる　シリア  .  </t>
  </si>
  <si>
    <t xml:space="preserve">ロシアとウクライナ首脳が会談　ガス輸出再開へ基本合意  .  </t>
  </si>
  <si>
    <t xml:space="preserve">イラク日報、新たに２日分発見　南スーダン日報も  .  </t>
  </si>
  <si>
    <t xml:space="preserve">ガザ、死者５００人超す　イスラエル「戦争長く続く」  .  </t>
  </si>
  <si>
    <t>インド兵５人、銃撃され死亡　パキスタンとの停戦ライン  .  　</t>
  </si>
  <si>
    <t xml:space="preserve">ブラジルの感染者、33万人に　ロシア抜き世界2番目  .  </t>
  </si>
  <si>
    <t>イスラエル軍が長距離飛行対応訓練　イランを牽制か  .  　</t>
  </si>
  <si>
    <t xml:space="preserve">孔子学院を閉鎖、姉妹都市も解消　スウェーデン中国離れ  .  </t>
  </si>
  <si>
    <t xml:space="preserve">国外逃亡中のタイ前首相に英国が１０年滞在ビザ発行か  .  </t>
  </si>
  <si>
    <t xml:space="preserve">イタリア行き？の密航船転覆、４２人死亡　エジプト沖  .  </t>
  </si>
  <si>
    <t xml:space="preserve">北朝鮮、拘束の米国人大学生１人を釈放　昏睡状態  .  </t>
  </si>
  <si>
    <t>トルコ軍、シリアのヘリ１機撃墜　「領空を侵犯」  .  　</t>
  </si>
  <si>
    <t xml:space="preserve">北朝鮮、グアム射撃示唆は迎撃避ける陽動か  .  </t>
  </si>
  <si>
    <t xml:space="preserve">両陛下がベトナムへ出発　タイでは前国王の弔問予定  .  </t>
  </si>
  <si>
    <t xml:space="preserve">野球Ｕ１８の日本代表、台風で韓国足止め　優勝は台湾  .  </t>
  </si>
  <si>
    <t>米国務副長官、エジプト訪問へ　暫定政権当局者と会談  .  　</t>
  </si>
  <si>
    <t xml:space="preserve">中国の宇宙投資、長期的には米国の利益にも  .  </t>
  </si>
  <si>
    <t xml:space="preserve">車いすラグビーは豪州が連覇　米国を１点差で下す  .  </t>
  </si>
  <si>
    <t xml:space="preserve">ブルガリア国境警察の警告射撃で死者　アフガン難民か  .  </t>
  </si>
  <si>
    <t>北朝鮮の警備艇、ロシア漁船に発砲　けが人なし  .  　</t>
  </si>
  <si>
    <t xml:space="preserve">パレスチナ抗議行動で４人死亡　イスラエル側と衝突激化  .  </t>
  </si>
  <si>
    <t xml:space="preserve">イラク・イランでＭ７．３の地震　死者６１人超  .  </t>
  </si>
  <si>
    <t xml:space="preserve">ロシア、ウクライナ食品禁輸へ　ＥＵとの連合協定に反発  .  </t>
  </si>
  <si>
    <t xml:space="preserve">韓国船沈没、中国人２人も不明　中国外務省  .  </t>
  </si>
  <si>
    <t xml:space="preserve">＜CNET Japan＞中国モバイル決済最大手「Alipay」、米国に参入--400万店で使用可能に  .  </t>
  </si>
  <si>
    <t xml:space="preserve">＜CNET Japan＞Twitterが不正アカウントのコンテンツ公開--ロシアとイランの関与が疑われる情報操作活動めぐり  .  </t>
  </si>
  <si>
    <t>シリア和平会議、１月２２日開催　スイス・ジュネーブで  .  　</t>
  </si>
  <si>
    <t xml:space="preserve">ジョンソン英外相、ロシア訪問中止　シリア情勢受け  .  </t>
  </si>
  <si>
    <t>リビアで武装集団がロシア大使館襲撃　集団側１人死亡  .  　</t>
  </si>
  <si>
    <t xml:space="preserve">英国、中国製原発稼働へ　英中首脳が合意、欧米で初  .  </t>
  </si>
  <si>
    <t xml:space="preserve">トルコへの経済制裁、解除示唆　牧師解放受け米国務長官  .  </t>
  </si>
  <si>
    <t xml:space="preserve">中国拘束のカナダ人早期釈放、米カナダ首脳働きかけへ  .  </t>
  </si>
  <si>
    <t>韓国、ＷＨＯの対北朝鮮人道支援に拠出　６億２千万円  .  　</t>
  </si>
  <si>
    <t xml:space="preserve">「米国の問題ではない」　トランプ氏、シリア撤退を強調  .  </t>
  </si>
  <si>
    <t xml:space="preserve">「中東は一触即発」　トルコ、サウジとイランに自制促す  .  </t>
  </si>
  <si>
    <t xml:space="preserve">米国務長官「北朝鮮は再考を」新戦略兵器開発表明めぐり  .  </t>
  </si>
  <si>
    <t xml:space="preserve">トルコで拘束の米国人牧師、解放へ両国が合意　米紙報道  .  </t>
  </si>
  <si>
    <t xml:space="preserve">韓国国防白書「北朝鮮のサイバー戦要員は６千人」  .  </t>
  </si>
  <si>
    <t xml:space="preserve">中国、北朝鮮に新制裁実施へ　石炭など禁輸　例外規定も  .  </t>
  </si>
  <si>
    <t xml:space="preserve">韓国大統領府「北朝鮮の決定歓迎、南北会談への助けに」  .  </t>
  </si>
  <si>
    <t xml:space="preserve">水球セルビア、宿敵クロアチア破り金　敗退危機脱し悲願  .  </t>
  </si>
  <si>
    <t xml:space="preserve">台湾、総統選前に「反浸透法案」可決　中国の介入を警戒  .  </t>
  </si>
  <si>
    <t xml:space="preserve">対北朝鮮強硬派、追い上げ　韓国大統領選、融和派を批判  .  </t>
  </si>
  <si>
    <t xml:space="preserve">カナダ人、また中国で拘束か　華為幹部の逮捕後３人目  .  </t>
  </si>
  <si>
    <t xml:space="preserve">イスラエル「和平交渉しない」　パレスチナ統一政府でも  .  </t>
  </si>
  <si>
    <t>BRA DEU</t>
  </si>
  <si>
    <t>SYR CAN</t>
  </si>
  <si>
    <t>IRN MYS</t>
  </si>
  <si>
    <t>IRN PRT</t>
  </si>
  <si>
    <t>HND SYR</t>
  </si>
  <si>
    <t>USA TON</t>
  </si>
  <si>
    <t>RUS EGY</t>
  </si>
  <si>
    <t>IRQ SDN</t>
  </si>
  <si>
    <t>SWE CHN</t>
  </si>
  <si>
    <t>THA GBR</t>
  </si>
  <si>
    <t>ITA EGY</t>
  </si>
  <si>
    <t>PRK GUM</t>
  </si>
  <si>
    <t>KOR TWN</t>
  </si>
  <si>
    <t>BGR AFG</t>
  </si>
  <si>
    <t>IRQ IRN</t>
  </si>
  <si>
    <t>RUS IRN</t>
  </si>
  <si>
    <t>CHN CAN</t>
  </si>
  <si>
    <t>TUR IRN</t>
  </si>
  <si>
    <t>SRB HRV</t>
  </si>
  <si>
    <t xml:space="preserve">Le Premier ministre indien remporte une victoire écrasante, mais sa position reste précaire ; il met en avant les frappes aériennes au Pakistan  .  </t>
  </si>
  <si>
    <t xml:space="preserve">La Chine demande aux États-Unis de mettre fin à l'opération « Liberté de navigation » ; un fossé se creuse lors des discussions sur la sécurité  .  </t>
  </si>
  <si>
    <t xml:space="preserve">La Chine et le Vietnam s'accordent sur la modération des actions militaires concernant la question de la mer de Chine méridionale  .  </t>
  </si>
  <si>
    <t>Trois Américains auraient été enlevés en Irak ; selon la presse locale, ils auraient été emmenés en voiture  .</t>
  </si>
  <si>
    <t xml:space="preserve">Israël et la Turquie s'accordent sur une normalisation de leurs relations : envoi d'ambassadeurs  .  </t>
  </si>
  <si>
    <t xml:space="preserve">&lt;ZDNet Japan&gt; Signal d'alerte pour la reprise économique japonaise, détérioration en Europe et en Chine : les États-Unis sont-ils les seuls à se porter bien ?  .  </t>
  </si>
  <si>
    <t xml:space="preserve">Les États-Unis et l'Europe ont décidé d'attaquer la Syrie : craintes d'un affrontement accidentel avec la Russie  .  </t>
  </si>
  <si>
    <t>Un projet de train à grande vitesse reliant la Chine continentale à Taïwan ? Des remous à l'Assemblée populaire nationale  .</t>
  </si>
  <si>
    <t xml:space="preserve">&lt;ZDNet Japan&gt; Un grand fabricant américain de pneus adopte les produits EIM — Gestion de l'information sur une plateforme unique  .  </t>
  </si>
  <si>
    <t xml:space="preserve">Manifestation de grande ampleur à Gaza, 15 morts — L'armée israélienne a ouvert le feu  .  </t>
  </si>
  <si>
    <t xml:space="preserve">Le président chinois Xi Jinping s'entretient avec le chef de l'opposition taïwanaise  .  </t>
  </si>
  <si>
    <t>Explosion près de Damas en Syrie — S'agit-il d'une attaque de l'armée israélienne ?  .</t>
  </si>
  <si>
    <t xml:space="preserve">La Chine s'affiche comme une puissance spatiale : exploration lunaire, les États-Unis se méfient de son ascension  .  </t>
  </si>
  <si>
    <t xml:space="preserve">Le président iranien : « Les États-Unis ont perdu la raison » : vive réaction contre les sanctions économiques  .  </t>
  </si>
  <si>
    <t xml:space="preserve">Livre blanc sud-coréen : suppression de la mention « la Corée du Sud et le Japon partagent des valeurs communes » ; classés juste après la Chine  .  </t>
  </si>
  <si>
    <t>Si l'on interdit les insultes… Les huées ne s'arrêtent pas à l'hymne national chinois : Hong Kong  .</t>
  </si>
  <si>
    <t xml:space="preserve">Un groupe armé attaque la police indienne, faisant 7 morts à la frontière pakistanaise  .  </t>
  </si>
  <si>
    <t xml:space="preserve">Les dirigeants russe et ukrainien s'entretiennent par téléphone plusieurs jours d'affilée : troisième fois depuis le cessez-le-feu  .  </t>
  </si>
  <si>
    <t xml:space="preserve">Football masculin : le Brésil remporte sa première médaille d'or après avoir battu l'Allemagne aux tirs au but  .  </t>
  </si>
  <si>
    <t>Un garçon réfugié syrien : son père révèle les circonstances de sa mort ; rassemblement en sa mémoire au Canada  .</t>
  </si>
  <si>
    <t xml:space="preserve">Le président syrien en visite en Russie : rencontre secrète avec M. Poutine  .  </t>
  </si>
  <si>
    <t xml:space="preserve">Interdiction de voyager en Corée du Nord : la Corée du Sud demande « une exception pour une personne » pour sa délégation olympique  .  </t>
  </si>
  <si>
    <t xml:space="preserve">Les étudiants de Hong Kong boycottent les cours : opposition à la Chine au sujet de la réforme électorale  .  </t>
  </si>
  <si>
    <t>Le Premier ministre malaisien nie la rupture des relations diplomatiques : possibilité d'un rapprochement avec la Corée du Nord  .</t>
  </si>
  <si>
    <t xml:space="preserve">Le Brésil bat la Corée du Sud : la Coupe du monde féminine de football démarre bien pour la France  .  </t>
  </si>
  <si>
    <t xml:space="preserve">Les deux passagers ayant embarqué avec des passeports volés sont iraniens : l'avion malaisien toujours porté disparu  .  </t>
  </si>
  <si>
    <t xml:space="preserve">La Chine proteste contre l'essai nucléaire nord-coréen : « Cela va à l'encontre des attentes de la communauté internationale »  .  </t>
  </si>
  <si>
    <t>63 % des personnes interrogées considèrent la Chine comme une « menace » : sondage d'un groupe de réflexion sud-coréen  .</t>
  </si>
  <si>
    <t xml:space="preserve">La Corée du Nord exécute un vice-Premier ministre : son attitude lors d’une réunion remise en cause, selon la Corée du Sud  .  </t>
  </si>
  <si>
    <t xml:space="preserve">La Corée du Nord se prépare à larguer des tracts sur la Corée du Sud : « Nous allons les recouvrir sans distinction »  .  </t>
  </si>
  <si>
    <t xml:space="preserve">La boîte noire de l’avion malaisien ? Un navire chinois détecte des signaux sonores  .  </t>
  </si>
  <si>
    <t>L’Iran arrête un Américain : risque d’une nouvelle détérioration des relations  .</t>
  </si>
  <si>
    <t xml:space="preserve">« La campagne anti-chinoise a des motivations politiques » : déclaration d'un ancien haut responsable du département d'État américain  .  </t>
  </si>
  <si>
    <t xml:space="preserve">Le ministre chinois des Affaires étrangères s'oppose au déploiement du THAAD par l'armée américaine : rencontre avec son homologue sud-coréen  .  </t>
  </si>
  <si>
    <t xml:space="preserve">&lt;ZDNet Japan&gt; La Russie et la Chine signent un accord sur la cybersécurité : elles s'engagent à ne pas s'attaquer mutuellement  .  </t>
  </si>
  <si>
    <t>Utilisation de bombes à fragmentation russes en Syrie : confirmation par des organisations de défense des droits de l'homme  .</t>
  </si>
  <si>
    <t xml:space="preserve">Une vidéo d'arbitrage tardive, un match gâché : Iran-Portugal  .  </t>
  </si>
  <si>
    <t xml:space="preserve">Un bateau de pêche chinois percute un bateau des autorités sud-coréennes, le renversant : enquête en cours  .  </t>
  </si>
  <si>
    <t xml:space="preserve">Annulation d'une compétition sportive à Taïwan : tollé face aux « pressions de la Chine »  .  </t>
  </si>
  <si>
    <t>Une association sud-coréenne prévoit de faire voler des tracts annonçant l'assassinat de Kim Jong-nam vers la Corée du Nord  .</t>
  </si>
  <si>
    <t xml:space="preserve">La Corée du Nord propose une visite juste avant les célébrations de la fête nationale ; la Corée du Sud craint une instrumentalisation politique  .  </t>
  </si>
  <si>
    <t xml:space="preserve">Les chemins de fer nord-coréens : des installations inchangées depuis 100 ans, selon le gouvernement sud-coréen  .  </t>
  </si>
  <si>
    <t xml:space="preserve">&lt;CNET Japan&gt; L'Université nationale de Singapour ouvre un nouvel espace de coworking aux États-Unis — l'objectif : devenir une « plaque tournante » avec l'Asie  .  </t>
  </si>
  <si>
    <t>La Corée du Nord annonce la remise en service de ses installations nucléaires : une guerre psychologique contre la Corée du Sud ?  .</t>
  </si>
  <si>
    <t xml:space="preserve">Disparitions en série d'universitaires critiques envers les autorités en Chine ? Manifestations de protestation à Hong Kong  .  </t>
  </si>
  <si>
    <t xml:space="preserve">Un nageur chinois déclare que « l'hymne national japonais est désagréable » : reportage des médias de Hong Kong  .  </t>
  </si>
  <si>
    <t xml:space="preserve">Le Premier ministre ukrainien dénonce la Russie devant le Conseil de sécurité : « violation de la Charte des Nations unies »  .  </t>
  </si>
  <si>
    <t>Un navire nord-coréen sur la vidéo ? L'explication de la « recherche » donnée par la Corée du Sud ne tient pas la route  .</t>
  </si>
  <si>
    <t xml:space="preserve">La Corée du Nord « arrête un espion sud-coréen » : les critiques pourraient s'intensifier  .  </t>
  </si>
  <si>
    <t xml:space="preserve">Summit Japon-Chine-Corée : feu orange pour la tenue de la réunion ; silence de la Chine, confusion en Corée du Sud  .  </t>
  </si>
  <si>
    <t xml:space="preserve">Un Syrien arrêté à l'aéroport du Honduras : en possession d'un faux passeport ?  .  </t>
  </si>
  <si>
    <t>« Si la Russie entre ici, c'est la mort » : un gouverneur ukrainien  .</t>
  </si>
  <si>
    <t xml:space="preserve">Coupe du monde de rugby : les joueurs observent une minute de silence pour les victimes du typhon – États-Unis contre Tonga  .  </t>
  </si>
  <si>
    <t xml:space="preserve">Crash d'un avion russe : « L'enquête pourrait prendre plusieurs mois », selon le président égyptien  .  </t>
  </si>
  <si>
    <t xml:space="preserve">Le président sud-coréen : « Une alliance militaire entre le Japon, les États-Unis et la Corée du Sud n'est pas souhaitable » – face à la Corée du Nord  .  </t>
  </si>
  <si>
    <t>Frappe aérienne contre un convoi de l'armée turque – tensions croissantes avec les forces gouvernementales – Syrie  .</t>
  </si>
  <si>
    <t xml:space="preserve">Rencontre entre les dirigeants russe et ukrainien : accord de principe sur la reprise des exportations de gaz  .  </t>
  </si>
  <si>
    <t xml:space="preserve">Découverte de deux jours supplémentaires du journal quotidien irakien ; le journal quotidien du Soudan du Sud également retrouvé  .  </t>
  </si>
  <si>
    <t xml:space="preserve">Gaza : plus de 500 morts ; Israël : « La guerre va durer longtemps »  .  </t>
  </si>
  <si>
    <t>Cinq soldats indiens tués par balle sur la ligne de cessez-le-feu avec le Pakistan  .</t>
  </si>
  <si>
    <t xml:space="preserve">Le Brésil compte désormais 330 000 cas, devançant la Russie au deuxième rang mondial  .  </t>
  </si>
  <si>
    <t xml:space="preserve">L'armée israélienne s'entraîne aux vols longue distance : une manœuvre pour contenir l'Iran ?  .  </t>
  </si>
  <si>
    <t xml:space="preserve">Fermeture des Instituts Confucius et dissolution des jumelages : la Suède prend ses distances avec la Chine  .  </t>
  </si>
  <si>
    <t>Le Royaume-Uni aurait délivré un visa de séjour de 10 ans à l'ancien Premier ministre thaïlandais en fuite à l'étranger  .</t>
  </si>
  <si>
    <t xml:space="preserve">Chavirement d'un bateau de migrants à destination de l'Italie ? : 42 morts au large de l'Égypte  .  </t>
  </si>
  <si>
    <t xml:space="preserve">La Corée du Nord libère un étudiant américain détenu : il est dans le coma  .  </t>
  </si>
  <si>
    <t xml:space="preserve">L'armée turque abat un hélicoptère syrien : « violation de l'espace aérien »  .  </t>
  </si>
  <si>
    <t>La Corée du Nord : ses menaces de tir sur Guam sont-elles une manœuvre pour éviter une interception ?  .</t>
  </si>
  <si>
    <t xml:space="preserve">Le couple impérial s'envole pour le Vietnam ; une visite à la Thaïlande est prévue pour rendre hommage à l'ancien roi  .  </t>
  </si>
  <si>
    <t xml:space="preserve">L'équipe japonaise de baseball des moins de 18 ans bloquée en Corée du Sud par un typhon ; la Taïwan remporte le titre  .  </t>
  </si>
  <si>
    <t xml:space="preserve">Le sous-secrétaire d'État américain se rend en Égypte pour s'entretenir avec les responsables du gouvernement de transition  .  </t>
  </si>
  <si>
    <t>Les investissements chinois dans l'espace pourraient profiter aux États-Unis à long terme  .</t>
  </si>
  <si>
    <t xml:space="preserve">L'Australie remporte un nouveau titre consécutif en rugby en fauteuil, battant les États-Unis d'un point  .  </t>
  </si>
  <si>
    <t xml:space="preserve">Un mort lors d'un tir d'avertissement de la police des frontières bulgare : s'agirait-il d'un réfugié afghan ?  .  </t>
  </si>
  <si>
    <t xml:space="preserve">Un patrouilleur nord-coréen tire sur un bateau de pêche russe : aucun blessé  .  </t>
  </si>
  <si>
    <t>Quatre morts lors de manifestations palestiniennes : les affrontements s'intensifient avec Israël  .</t>
  </si>
  <si>
    <t xml:space="preserve">Un séisme de magnitude 7,3 en Irak et en Iran : plus de 61 morts  .  </t>
  </si>
  <si>
    <t xml:space="preserve">La Russie va interdire les importations de produits alimentaires ukrainiens : une réaction à l'accord d'association avec l'UE  .  </t>
  </si>
  <si>
    <t xml:space="preserve">Naufrage d'un navire sud-coréen : deux Chinois portés disparus, selon le ministère chinois des Affaires étrangères  .  </t>
  </si>
  <si>
    <t>&lt;CNET Japan&gt; « Alipay », le leader chinois des paiements mobiles, fait son entrée aux États-Unis : désormais utilisable dans 4 millions de magasins  .</t>
  </si>
  <si>
    <t xml:space="preserve">&lt;CNET Japan&gt; Twitter publie le contenu de comptes frauduleux — dans le cadre d'activités de manipulation de l'information où la Russie et l'Iran sont soupçonnés d'être impliqués  .  </t>
  </si>
  <si>
    <t xml:space="preserve">Conférence de paix sur la Syrie prévue le 22 janvier à Genève, en Suisse  .  </t>
  </si>
  <si>
    <t xml:space="preserve">Le ministre britannique des Affaires étrangères Johnson annule sa visite en Russie en raison de la situation en Syrie  .  </t>
  </si>
  <si>
    <t>Un groupe armé attaque l'ambassade de Russie en Libye — un membre du groupe tué  .</t>
  </si>
  <si>
    <t xml:space="preserve">Le Royaume-Uni va mettre en service une centrale nucléaire de fabrication chinoise : accord entre les dirigeants britanniques et chinois, une première en Occident  .  </t>
  </si>
  <si>
    <t xml:space="preserve">Le secrétaire d'État américain laisse entrevoir la levée des sanctions économiques contre la Turquie suite à la libération du pasteur  .  </t>
  </si>
  <si>
    <t xml:space="preserve">Les dirigeants américains et canadiens vont intervenir pour obtenir la libération rapide du Canadien détenu en Chine  .  </t>
  </si>
  <si>
    <t>La Corée du Sud contribue à l'aide humanitaire de l'OMS en faveur de la Corée du Nord à hauteur de 620 millions de yens  .</t>
  </si>
  <si>
    <t xml:space="preserve">« Ce n'est pas un problème américain » : M. Trump insiste sur le retrait de Syrie  .  </t>
  </si>
  <si>
    <t xml:space="preserve">« Le Moyen-Orient est au bord de l'explosion » : la Turquie appelle la Turquie, l'Arabie saoudite et l'Iran à la retenue  .  </t>
  </si>
  <si>
    <t xml:space="preserve">Le secrétaire d'État américain demande à la Corée du Nord de « reconsidérer » son annonce concernant le développement de nouvelles armes stratégiques  .  </t>
  </si>
  <si>
    <t>Les deux pays s'accordent sur la libération du pasteur américain détenu en Turquie, selon un journal américain  .</t>
  </si>
  <si>
    <t xml:space="preserve">Livre blanc sur la défense sud-coréen : « La Corée du Nord compte 6 000 cyber-soldats »  .  </t>
  </si>
  <si>
    <t xml:space="preserve">La Chine s'apprête à imposer de nouvelles sanctions à la Corée du Nord : embargo sur le charbon, etc., avec des exceptions  .  </t>
  </si>
  <si>
    <t xml:space="preserve">La présidence sud-coréenne : « Nous saluons la décision de la Corée du Nord, qui contribuera aux pourparlers intercoréens »  .  </t>
  </si>
  <si>
    <t>Water-polo : la Serbie bat sa rivale de toujours, la Croatie, et remporte l'or, échappant ainsi à l'élimination et réalisant son rêve  .</t>
  </si>
  <si>
    <t xml:space="preserve">Taïwan adopte une « loi anti-infiltration » avant l'élection présidentielle, sur le qui-vive face à une intervention chinoise  .  </t>
  </si>
  <si>
    <t xml:space="preserve">Les partisans d'une ligne dure envers la Corée du Nord remontent dans les sondages ; ils critiquent les partisans de la conciliation à l'approche de l'élection présidentielle sud-coréenne  .  </t>
  </si>
  <si>
    <t xml:space="preserve">Un autre Canadien serait détenu en Chine ; c'est le troisième depuis l'arrestation d'un dirigeant de Huawei  .  </t>
  </si>
  <si>
    <t>Israël : « Pas de négociations de paix », même avec un gouvernement palestinien unifié  .</t>
  </si>
  <si>
    <t>‘Putin was a pleasant call. This is ridiculous’: Full transcripts of Trump’s calls with Mexico and Australia  .  The White House prepared, but did not release transcripts of Trump’s January phone calls with Mexica</t>
  </si>
  <si>
    <t>MEX AUS</t>
  </si>
  <si>
    <t>USA  federal prosecutors ask for life in prison plus 30 years for ‘El Chapo’  .  In a sentencing letter, prosecutors portrayed the 62-year-old drug lord as a monstrous killer and sa</t>
  </si>
  <si>
    <t>USA ZAF</t>
  </si>
  <si>
    <t>Irish prime minister calls on Trump to help undocumented immigrants  .                      USA  president welcomes Irish Prime Minister Enda Kenny at White House, calli</t>
  </si>
  <si>
    <t>IRL USA</t>
  </si>
  <si>
    <t>Meet the Canadian star of Somalia's national bandy team  .  18-year-old Anwar Hared of Newmarket has just returned from Russia after his team was annihilated in</t>
  </si>
  <si>
    <t>SOM RUS</t>
  </si>
  <si>
    <t>USA  government scrambles to deal with massive hacking attack  .  China-based hackers suspected of breaking into Department of Homeland and Office of Personnel Manage</t>
  </si>
  <si>
    <t>Marcel Kittel wins Tour de France stage, Vincenzo Nibali keeps yellow jersey  .  Germany's Marcel Kittel won the third stage of the Tour de France Monday, his second win in three ra</t>
  </si>
  <si>
    <t xml:space="preserve">Russia, Syria should face war crimes investigation, John Kerry says  .                      “Russia and the regime owe the world more than an explanation about why they </t>
  </si>
  <si>
    <t xml:space="preserve">China diplomat: Huawei should be allowed to upgrade 5G in UK  .  </t>
  </si>
  <si>
    <t>Canada and allies must sanction Russia and support Ukraine: Editorial  .  Canada and its allies must settle down to the long game of exacting a price for Russian President Vl</t>
  </si>
  <si>
    <t xml:space="preserve">USA citizen accused of spying for China appears in court  .  </t>
  </si>
  <si>
    <t xml:space="preserve">The Latest: Canada, Cuba hold talks on Venezuela crisis  .  </t>
  </si>
  <si>
    <t xml:space="preserve">Romania’s PM seeks Canadian troops for brigade to deter Russian aggression  .                      Ukraine’s ambassador to Canada also warned that Putin is laying a propaganda </t>
  </si>
  <si>
    <t>ROM UKR</t>
  </si>
  <si>
    <t>Social media is the new command centre for terrorists, U.K. spy chief says  .  USA -based social media firms are in denial over that usage, says new head of Britain&amp;#8217;s electr</t>
  </si>
  <si>
    <t>Lebanon tightens security around refugee camp over virus  .  In this June 20, 2017 file photo, Syrian refugee children play outside their family tents at a Syria</t>
  </si>
  <si>
    <t xml:space="preserve">The Blood Telegram by Gary Bass wins Cundill Prize for historical literature  .  Story about American complicity in the genocide of Bangladeshis by Pakistan wins $75,000 USA </t>
  </si>
  <si>
    <t>North Korea compares Obama to monkey in hacking row  .  North Korea blames Obama for shutting down its internet and compares the USA  president to a monkey.</t>
  </si>
  <si>
    <t xml:space="preserve">Tough talk between Russia, Ukraine heats up Crimea stalemate  .                      Ukraine put its troops on high alert Thursday after Russia’s security agency </t>
  </si>
  <si>
    <t>Spanish soccer players return to training camps, get tested  .  Barcelona forward Antoine Griezmann, of France, wears a face mask after undergoing coronavirus tests</t>
  </si>
  <si>
    <t>Clear path ahead for USA -Mexico-Canada trade deal, Morneau says  .  The finance minister said Trump’s decision not to slap tariffs on Mexico and the USA  cancellation o</t>
  </si>
  <si>
    <t>Kathleen Wynne planning China trade mission amid Hong Kong protests  .  Premier Kathleen Wynne plans trade mission to China amid pro-democracy protests in Hong Kong.</t>
  </si>
  <si>
    <t xml:space="preserve">France, New Zealand to launch a call to end online extremism  .  </t>
  </si>
  <si>
    <t>FRA NZL</t>
  </si>
  <si>
    <t>Mats Sundin joins Swedish Hockey Hall of Fame  .  Maple Leafs great honoured before Sweden routs Norway at world junior championship.</t>
  </si>
  <si>
    <t>SWE NOR</t>
  </si>
  <si>
    <t xml:space="preserve">Canada&amp;#8217;s aging CF-18 jets sent to fight PR war against Putin: Walkom  .  Are Canadians really prepared to go to war with Russia over Ukraine? Stephen Harper seems to thinks </t>
  </si>
  <si>
    <t xml:space="preserve">Team Europe to face the United States in World Cup  .                      After their victory over Sweden, Team Europe enters the tournament with high </t>
  </si>
  <si>
    <t>USA SWE</t>
  </si>
  <si>
    <t xml:space="preserve">Sochi, Ukraine, Canada, Olympics, Russia  .  Canada will continue to vigilantly monitor developments in Ukraine as the world spotlight shifts to </t>
  </si>
  <si>
    <t>Mamiko Higa storms back to USA  Open lead after thunder and lightning delay  .  Japanese star birdies three of her last six holes.</t>
  </si>
  <si>
    <t xml:space="preserve">Long road paying dividends for Marlies goalie Kasimir Kaskisuo  .                      Finnish goaltender opted to play USA  college hockey and was rewarded with a </t>
  </si>
  <si>
    <t>FIN USA</t>
  </si>
  <si>
    <t xml:space="preserve">Canada’s ambassador to China backs Meng’s chances of fighting extradition to the USA   .  John McCallum expressed regret over the “difficult situation” and hope that if the USA  cuts a deal </t>
  </si>
  <si>
    <t>Metro Manila a dark crime drama: review  .  British director Sean Ellis&amp;#8217;s Philippines-shot drama Metro Manila is as bleak as a Dickens nov</t>
  </si>
  <si>
    <t>GBR PHL</t>
  </si>
  <si>
    <t>USA  considers returning North Korea to state sponsors of terrorism list  .  As the USA  decides how to respond to the Sony cyberattack, President Obama says the country is cons</t>
  </si>
  <si>
    <t>Italy breaks up terror-recruiting cell in Europe-wide blitz  .  Norway-based ring recruiting on the internet for Islamic State broken up in “the most important poli</t>
  </si>
  <si>
    <t>ITA NOR</t>
  </si>
  <si>
    <t>Gambia’s new president Adama Barrow set to arrive on Thursday  .                      Barrow has taken the oath of office in neighbouring Senegal, where he has wai</t>
  </si>
  <si>
    <t>GMB SEN</t>
  </si>
  <si>
    <t>China’s president arrives in Hong Kong amid pro-democracy protests  .                      President Xi Jinping landed in Hong Kong on Thursday to mark the 20th anniver</t>
  </si>
  <si>
    <t>Bachelor in Paradise Season 5 has a happy ending … for now  .  Season finale reunion sees two couples engaged and two more reuniting after breaking up in Mexico.</t>
  </si>
  <si>
    <t>REU MEX</t>
  </si>
  <si>
    <t xml:space="preserve">U.K threatens Russia as ex-spy, daughter fight for life following contact with ‘unknown substance’  .  The U.K. foreign secretary on Tuesday said Britain will respond “appropriately and robustly” if the </t>
  </si>
  <si>
    <t>France debates recognizing Palestine  .  The Socialist government supports the idea of two states, with the foreign minister saying the quest</t>
  </si>
  <si>
    <t>FRA PSE</t>
  </si>
  <si>
    <t>Croatian football fans riding high in Vancouver after emotional World Cup victory  .  Twenty years after being defeated by France in the semifinal, Croatia will have a shot at redemption</t>
  </si>
  <si>
    <t>FRA HRV</t>
  </si>
  <si>
    <t>Netherlands escape with shootout win over Costa Rica  .  The Dutch will face Argentina in the semifinals on Wednesday in Sao Paulo.</t>
  </si>
  <si>
    <t xml:space="preserve">China defence chief defends policy on Hong Kong, Xinjiang  .  </t>
  </si>
  <si>
    <t xml:space="preserve">Sudan’s new PM arrives in Egypt to meet with el-Sissi  .  </t>
  </si>
  <si>
    <t>SDN EGY</t>
  </si>
  <si>
    <t>UAE suffers deadliest day for military after missile strike in Yemen  .  The toll was the Emirates’ highest number of combat casualties since the federation was founded in 1</t>
  </si>
  <si>
    <t>ARE YEM</t>
  </si>
  <si>
    <t xml:space="preserve">Ghosn in Lebanon, says he left Japan because of “injustice”  .  </t>
  </si>
  <si>
    <t>LBN JPN</t>
  </si>
  <si>
    <t>Daesh militants evacuate last stronghold in Syria following government offensive  .  The Syrian military declared the strategically located town near the border with Iraq liberated afte</t>
  </si>
  <si>
    <t xml:space="preserve">India intercepts suspicious Pakistan fishing boat, which then blew itself up  .  India&amp;#8217;s Defence ministry said after an extended chase, the people on the boat set it on fire, </t>
  </si>
  <si>
    <t xml:space="preserve">Hong Kong opposition slams China national security law move  .  Hong Kong Chief Executive Carrie Lam, upper left, talks with a fellow delegate as Chinese President </t>
  </si>
  <si>
    <t>Woman sets herself on fire over China oil rig  .  A 67-year-old Vietnamese woman died after setting herself on fire in downtown Ho Chi Minh City on Fr</t>
  </si>
  <si>
    <t>Europe Travel: Wild cats take over an historic site in Rome  .  Cat-lovers flocking to historic Largo Argentina ruins in Rome, Italy to see and feed wild cats.</t>
  </si>
  <si>
    <t xml:space="preserve">Spain begins trial for killings of 5 Jesuits in El Salvador  .  </t>
  </si>
  <si>
    <t>Obama seizes Russia&amp;#8217;s chemical weapons &amp;#8216;breakthrough&amp;#8217;  .  Obama, faced with domestic crisis over his unpopular plan to strike Syria, finds a diplomatic exit i</t>
  </si>
  <si>
    <t>UAE drops extramarital sex charges against woman who reported rape  .                      Last month, a British woman visiting the UAE told authorities two British men</t>
  </si>
  <si>
    <t>ARE GBR</t>
  </si>
  <si>
    <t>EU urges nations to honour pledges to aid migrants  .  Promised assets such as planes, personnel and patrol cars needed to help Greece and Hungary cope wit</t>
  </si>
  <si>
    <t>GRC HUN</t>
  </si>
  <si>
    <t>Diplomats agree to Syria ceasefire  .  USA  Secretary of State John Kerry said early Friday the target to implement ceasefire is in one wee</t>
  </si>
  <si>
    <t xml:space="preserve">The Latest: France halts Brazil trade deal over Amazon fires  .  </t>
  </si>
  <si>
    <t>FRA BRA</t>
  </si>
  <si>
    <t>Japan’s Rika Kihira takes figure skating gold at Grand Prix Final  .  The women’s competition was made up entirely of skaters from Japan and Russia.</t>
  </si>
  <si>
    <t>Foreigners who joined Daesh faced almost certain death in fight for Raqqa  .  Between 27,000 and 31,000 people may have travelled to Syria and Iraq to join Daesh, analysts say. N</t>
  </si>
  <si>
    <t>British Open: Jordan Spieth happy to live out of a suitcase  .  Jordan Spieth's success at the John Deere Classic means he arrived at the British Open a little shor</t>
  </si>
  <si>
    <t>GBR JOR</t>
  </si>
  <si>
    <t>Kudlow says USA  and China are on the verge of ‘historic’ trade deal  .  The director of the White House’s National Economic Council cautioned that the USA -China accord sti</t>
  </si>
  <si>
    <t>Eritrea leader to visit Ethiopia amid historic thaw between former rivals  .  The visit by the leader of one of the world’s most reclusive countries comes after Ethiopia’s new Pr</t>
  </si>
  <si>
    <t>ERI ETH</t>
  </si>
  <si>
    <t>Long-time allies, Cuba and Venezuela go different ways  .  While Havana cosies up to Washington, fellow socialists in Caracas remain embittered and aloof, desp</t>
  </si>
  <si>
    <t>Barack Obama to face protests in Sweden over Edward Snowden spy surveillance leaks  .  Internet freedom activists plan to protest USA  online spying when Barack Obama visits Stockholm thi</t>
  </si>
  <si>
    <t>SWE USA</t>
  </si>
  <si>
    <t>China, USA  sign groundbreaking deal to curb emissions  .  The two countries are seeking to put their troubled history as environmental adversaries behind them</t>
  </si>
  <si>
    <t xml:space="preserve">USA airstrike kills extremist rebel in Somalia, say officials  .  </t>
  </si>
  <si>
    <t xml:space="preserve">Little mouse delays British Airways flight for 4 hours  .                      The crew joked that the mouse couldn’t enter USA airspace without a passport, </t>
  </si>
  <si>
    <t>Quick breakthrough unlikely in talks with Iran, USA  official says  .  Officials dashed high hopes for a quick solution to the tug of war between Iran and the West over Ir</t>
  </si>
  <si>
    <t xml:space="preserve">&amp;#8216;You should expect everything,&amp;#8217; Syria&amp;#8217;s Assad warns USA  in rare TV interview  .  </t>
  </si>
  <si>
    <t>Vatican studying possible miracle by slain Archbishop Oscar Romero  .                      Romero, a polarizing figure in El Salvador, was shot by a sniper in 1980. The</t>
  </si>
  <si>
    <t>VAT SLV</t>
  </si>
  <si>
    <t>South Korea sets up USA  missile defence system shortly after North flexes muscle  .                      The moves to install the defence system within this year have angered not onl</t>
  </si>
  <si>
    <t>Why G20 leaders should ignore Syria and talk about the economy: Walkom  .  With the USA  Federal Reserve moving away from its low interest rate policy, the sputtering world ec</t>
  </si>
  <si>
    <t>Daesh strategies ordered by Trump could deepen USA  involvement in Syria  .                      Recommendations due at the White House on Monday are likely to increase empha</t>
  </si>
  <si>
    <t>Al-Shabab extremists from Somalia kill 14 people in village in Kenya’s north  .  Eleven people wounded in attack in village near Kenya’s border with Somalia, Kenyan official reports</t>
  </si>
  <si>
    <t>SOM KEN</t>
  </si>
  <si>
    <t>Russia to resume flights to Egypt more than 2 years after 2015 bombing  .  Russian President Vladimir Putin on a visit to Cairo said the deal on the resumption of flights coul</t>
  </si>
  <si>
    <t xml:space="preserve">North Korean missile test probably a dud says South Korea  .                      Failed missile likely a powerful mid-range Musudan, capable of reaching USA  </t>
  </si>
  <si>
    <t xml:space="preserve">Syrian rebels release two Spanish journalists after 6 months  .  Two Spanish journalists &amp;#8212; held hostage for over six months in Syria by a rogue Al Qaeda group </t>
  </si>
  <si>
    <t xml:space="preserve">Norway holds Muslim cleric for 4 weeks after Italy trial  .  </t>
  </si>
  <si>
    <t>NOR ITA</t>
  </si>
  <si>
    <t xml:space="preserve">India, Pakistan troops trade heavy fire in Kashmir; 3 killed  .  </t>
  </si>
  <si>
    <t xml:space="preserve">Culebra: A quiet corner of the Caribbean  .  Culebra: One a place the USA  Navy tested weapons, little known island off Puerto Rico boasts great </t>
  </si>
  <si>
    <t>USA PRI</t>
  </si>
  <si>
    <t>Burundi crisis resembles run-up to Rwanda genocide: Editorial  .  Burundi is at an ugly tipping point. The United Nations fears mass violence.</t>
  </si>
  <si>
    <t>BDI RWA</t>
  </si>
  <si>
    <t xml:space="preserve">Poland advances to Euro 2016 knockout round  .                      Team wins against Ukraine despite Robert Lewandowski’s inability to find the </t>
  </si>
  <si>
    <t>POL UKR</t>
  </si>
  <si>
    <t>Mexico weighs USA  plan to strip biologic drugs from trade pact  .  The proposed change would drop language in the USA -Mexico-Canada Agreement offering 10 years of mar</t>
  </si>
  <si>
    <t xml:space="preserve">Russia condemns Canada’s North Korea summit as ‘propaganda’  .  </t>
  </si>
  <si>
    <t xml:space="preserve">Venezuela rounds up USA oil executives as Guaidó visits DC  .  </t>
  </si>
  <si>
    <t>Immigrant allowed to return home after taking sanctuary in USA  church to avoid deportation  .  The father of three was supposed to board a plane to Ecuador on Aug. 8 but instead took refuge insid</t>
  </si>
  <si>
    <t>USA ECU</t>
  </si>
  <si>
    <t xml:space="preserve">Russia raises tensions accusing Turkey’s Erdogan of profiting from oil trade with Islamic State  .  Erdogan denied the allegation, saying that ‘Turkey has not lost its moral values as to buy oil from </t>
  </si>
  <si>
    <t>Indian charity worker kidnapped in Afghanistan  .                      Aga Khan Foundation confirms a staffer went missing; the Indian government sa</t>
  </si>
  <si>
    <t>AFG ZAF</t>
  </si>
  <si>
    <t>Australia ousts Brazil from Women's World Cup  .  Brazil was one of two teams to win all three matches in the round robin.</t>
  </si>
  <si>
    <t>AUS BRA</t>
  </si>
  <si>
    <t>Australia considers moving embassy to Jerusalem  .  Prime Minister Scott Morrison said the idea was suggested to him by a former ambassador to Israel.</t>
  </si>
  <si>
    <t xml:space="preserve">“Canadian journalism is in a death spiral”: New campaign demands that tech giants pay for content  .  Facebook CEO Mark Zuckerberg is seen in a 2019 file photo. France and Australia have instated rules </t>
  </si>
  <si>
    <t>FRA AUS</t>
  </si>
  <si>
    <t>Arms race worries grow as nuclear deal between Russia and USA ends  .  Russian Deputy Foreign Minister Sergei Ryabkov vowed that his country “will never lose the arms race</t>
  </si>
  <si>
    <t xml:space="preserve">Northern Ireland steps up to beat Ukraine at Euro 2016  .                      First victory in a major competition in 34 years, beating Ukraine 2-0.      </t>
  </si>
  <si>
    <t>IRL UKR</t>
  </si>
  <si>
    <t>The underground war between Israel and Gaza  .  Hamas militants have spent about $30 million and poured 600,000 tons of cement into the ground to bu</t>
  </si>
  <si>
    <t>USA -China friction threatens to undercut the fight against climate change  .  The tensions between Washington and Beijing range from trade to cybersecurity to military rivalry in</t>
  </si>
  <si>
    <t xml:space="preserve">Italy accuses USA man of killing owner of fashion store  .  </t>
  </si>
  <si>
    <t>Puerto Rico, USA  Virgin Islands brace for rain as remnants of Tropical Storm Beryl near  .  The storm comes as Puerto Rico still recovers from last year’s devastating Hurricane Maria.</t>
  </si>
  <si>
    <t>Asia Today: North Korea’s Kim praises Xi for outbreak gains  .  South Korean club Jeonbuk Hyundai Motors employees display cheer banners from fans at the Jeonju Wor</t>
  </si>
  <si>
    <t>China adds carfentanil, three related synthetic opioids to list of controlled substances  .                      The USA  Drug Enforcement Administration called the move a potential "game-ch</t>
  </si>
  <si>
    <t>El Salvador navy seizes record 6300 kg of cocaine  .  The cocaine from this week’s seizure had an estimated value of $160 million (USA .</t>
  </si>
  <si>
    <t>SLV USA</t>
  </si>
  <si>
    <t>USA  energy secretary Rick Perry, under scrutiny for Ukraine trip, calls Trump God’s ‘chosen one’  .  Perry, whose trip to Ukraine for the inauguration of President Volodymyr Zelenskiy is under scrutiny</t>
  </si>
  <si>
    <t xml:space="preserve">Stocks rise after USA deal with Mexico; car companies rise  .  </t>
  </si>
  <si>
    <t>Malaysia seizes 18 rhino horns worth $3.1M from Mozambique  .                      The horns were declared as art objects in a forged air bill with a fake final</t>
  </si>
  <si>
    <t>MYS MOZ</t>
  </si>
  <si>
    <t>BGD</t>
  </si>
  <si>
    <t>VIR</t>
  </si>
  <si>
    <t>PM Modi leaves for Germany after 3-day visit to Israel  .  PM Modi leaves for Germany after 3-day visit to Israel</t>
  </si>
  <si>
    <t>DEU ISR</t>
  </si>
  <si>
    <t>Gaza artists call on Eurovision singers to boycott Israel  .  The Gaza Strip-based Palestinian Artists Association said Wednesday that Israel is using the event t</t>
  </si>
  <si>
    <t>China blames Washington, Seoul for North Korea missile launch  .  China, facing criticism that it is not doing enough to pressure North Korea to drop its nuclear prog</t>
  </si>
  <si>
    <t xml:space="preserve">Shown as hellhole in USA TV series, Pakisatn fumes  .  Pakistan has problems with the way it has been depicted as a military-dominated, terrorist-infested </t>
  </si>
  <si>
    <t>Pakistan-born refugee to Australia Fawad sets domestic record  .  Pakistan-born refugee Fawad Ahmed has broken a domestic first-class cricket record in Australia, tak</t>
  </si>
  <si>
    <t>PAK AUS</t>
  </si>
  <si>
    <t>Azim Premji to invest in tech companies in China, USA  .  Premji Invest will now invest directly in technology companies in the United States and China.</t>
  </si>
  <si>
    <t>Why USA and Iran often face off in Persian Gulf  .  The USA Navy again has accused Iranian patrol boats of harassing an American warship in the Persian G</t>
  </si>
  <si>
    <t>Vatican defrocks former USA cardinal Theodore McCarrick over sex abuse claims  .  Pope Francis has defrocked the former USA cardinal Theodore McCarrick over accusations he sexually ab</t>
  </si>
  <si>
    <t>VAT USA</t>
  </si>
  <si>
    <t>Australia crush South Africa by 281 runs  .  Australia crushed top-ranked team as unstoppable Mitchell Johnson took 12 of 20 wickets to send Sout</t>
  </si>
  <si>
    <t>AUS ZAF</t>
  </si>
  <si>
    <t>Afghanistan has no military solution: Imran Khan  .  Ahead of his meeting with Donald Trump, Pakistan Prime Minister Imran Khan on Sunday asserted that t</t>
  </si>
  <si>
    <t>Trump to seek another $8.6 billion for border wall  .  USA President Donald Trump is seeking $8.6 billion in fresh funding for a wall on the US-Mexico borde</t>
  </si>
  <si>
    <t>China, USA to work out effective mechanism for peace in South China Sea  .  China's chief of the general staff said that China wants to expand communication and cooperation wit</t>
  </si>
  <si>
    <t>NSA, British spy agency have secret access to Deutsche Telekom: Report  .  The USA National Security Agency and British intelligence services are able to secretly access data f</t>
  </si>
  <si>
    <t xml:space="preserve">coronavirus: यूपी: सोनौली बॉर्डर से नेपाल लौटाए गए 6 जापानी पर्यटक, 223 विदेशियों की हुई जांच - 6 japanese tourists were returned to nepal from sonauli border in uttar pradesh | Navbharat Times  .  </t>
  </si>
  <si>
    <t>JPN NPL</t>
  </si>
  <si>
    <t>Taiwan shoots down China’s merger plan  .  Taiwan has rejected Chinese president Xi Jinping’s call for merger with mainland China.</t>
  </si>
  <si>
    <t>For Obama and Xi, fight against Islamic State a brief moment to agree  .  When the United States and China discuss cooperating against Islamic State later this month, the mos</t>
  </si>
  <si>
    <t>Apple caught in anti-USA protests in China  .  A handful of unofficial Apple stores were picketed and social media users encouraged each other to d</t>
  </si>
  <si>
    <t>Governments offer airlines aid as coronavirus drives deeper flight cuts  .   Australia and Taiwan joined a growing list of countries offering financial aid to their ailing avia</t>
  </si>
  <si>
    <t>AUS TWN</t>
  </si>
  <si>
    <t xml:space="preserve">China slams USA criticism of Muslim treatment as 'absurd'  .  </t>
  </si>
  <si>
    <t xml:space="preserve">'A Message in Blood': ISIS beheads Kurdish man for backing USA  .  ISIS has released a video apparently showing the beheading of a Kurdish man in Iraq as a warning to </t>
  </si>
  <si>
    <t>USA warns Pakistan, asks to act against terror groups  .  USA warns Pakistan, asks to act against terror groups</t>
  </si>
  <si>
    <t>Afghan president lashes out at USA 'threats'  .  Afghanistan President Hamid Karzai lashed out at the United States, accusing it of making threats in</t>
  </si>
  <si>
    <t xml:space="preserve">Russia's Gazprom announces big gas price rise for Ukraine  .  Russian natural gas producer Gazprom announced a more than 40 percent increase in the price Ukraine </t>
  </si>
  <si>
    <t xml:space="preserve">USA pulls up Pak envoy over tweet, says report; Islamabad dismisses it  .  Pakistan on Tuesday rejected as "baseless" media reports that the United States has reprimanded its </t>
  </si>
  <si>
    <t>1st Test: Lanka conced 179-run lead  .  Sri Lanka were 2/0 at lunch in their second innings after bowling out Pakistan for 383 in their firs</t>
  </si>
  <si>
    <t>LKA PAK</t>
  </si>
  <si>
    <t>Italy becomes first G7 nation to sign China’s One Belt One Road plan  .  With the memorandum, Italy becomes the first member of the Group of Seven major economies, which inc</t>
  </si>
  <si>
    <t xml:space="preserve">Dropping 'Mother Of All Bombs' In Afghanistan Is Trump's Loud And Clear Message To Terrorists!  .  In order to annihilate the Islamic State (IS) operatives in Afghanistan, the USA dropped the largest </t>
  </si>
  <si>
    <t>Boyle strikes twice as Australia farewell Cahill with Lebanon win  .  Australia bid farewell to totemic forward Tim Cahill with a comfortable 3-0 win over Lebanon in thei</t>
  </si>
  <si>
    <t>AUS LBN</t>
  </si>
  <si>
    <t>Russia lets Ukraine inspect aid convoy  .  Adding to the tensions, a dozen Russian armoured personnel carriers appeared early on Friday near wh</t>
  </si>
  <si>
    <t>Australia bans travel from Ebola-hit countries; USA isolates troops  .  Australia became the first developed country on Tuesday to shut its borders to citizens of the count</t>
  </si>
  <si>
    <t>In Haiti capital, gunmen kill USA missionary in her car  .  An American missionary who had been working in Haiti for many years was fatally shot by gunmen in th</t>
  </si>
  <si>
    <t>HTI USA</t>
  </si>
  <si>
    <t>Ban Ki-moon hints on running for S Korea's presidency  .  USA cretary General Ban Ki-moon has hinted that he may run for the presidency of his native South K</t>
  </si>
  <si>
    <t>PM Modi leaves for Kazakhstan to attend SCO summit  .  At the summit in Astana, India and Pakistan will become the full members of the grouping, which at p</t>
  </si>
  <si>
    <t>KAZ PAK</t>
  </si>
  <si>
    <t>Why this billionaire is angry with Trump's tweets  .  Iran produces 3.8 million barrels of crude a day with China and India as its main export markets. Co</t>
  </si>
  <si>
    <t>IRN CHN</t>
  </si>
  <si>
    <t>6 Lakh Newborns Die Within 28 Days Of Birth In India; Pakistan Riskiest, Japan Safest For Infants  .  As many as 7,000 newborn babies die every day in India. This means, as you read this, a mother is gr</t>
  </si>
  <si>
    <t>PAK JPN</t>
  </si>
  <si>
    <t>China, USA differ on global plan to cut emissions  .  The difference on the global plan aside, the two countries announced eight joint projects to improve</t>
  </si>
  <si>
    <t>USA evaluating video of purported Henning beheading  .  The White House is aware of a video purporting to show the beheading of British hostage Alan Henning</t>
  </si>
  <si>
    <t>China says it regrets USA quitting UN rights council  .  USA Ambassador to the United Nations Nikki Haley announced the decision to pull out of the council on</t>
  </si>
  <si>
    <t>North Korea sentences South Korean to life of hard labor for spying  .  North Korea sentenced a South Korean missionary to life with hard labor on Friday after convicting h</t>
  </si>
  <si>
    <t>Hundreds protest against regime in Syria's Idlib  .  Some demonstrators gathered near the Bab al-Hawa border crossing with Turkey, where Turkish border g</t>
  </si>
  <si>
    <t xml:space="preserve">USA Professor Is Facing 219 Years In Prison For Illegally Selling Missile Tech To China  .  When it comes to military and spy technology, countries are really touchy about what they share and </t>
  </si>
  <si>
    <t xml:space="preserve">Modi leaves for Ufa to attend BRICS, SCO  .  Prime Minister Narendra Modi on Wednesday left Kazakhstan for Ufa in Russia to attend the BRICS and </t>
  </si>
  <si>
    <t>KAZ RUS</t>
  </si>
  <si>
    <t xml:space="preserve">All 39 victims found dead in UK truck were Vietnamese: Police  .  </t>
  </si>
  <si>
    <t>GBR VNM</t>
  </si>
  <si>
    <t>Bangladesh poses security threat besides Pak, China: MoS Home  .  Bangladesh, the "so-called friend" of India, also poses a security threat to the country besides Chi</t>
  </si>
  <si>
    <t>BGD CHN</t>
  </si>
  <si>
    <t>Pakistan, Afghanistan leaders pledge security cooperation  .  Pakistan and Afghanistan today pledged to work together for "peace, stability and prosperity" as the</t>
  </si>
  <si>
    <t>Russia, Saudi 'very close' to oil deal, says Moscow negotiator  .  Saudi Arabia and Russia are "very, very close" to a deal on oil production cuts, Kirill Dmitriev, he</t>
  </si>
  <si>
    <t>RUS SAU</t>
  </si>
  <si>
    <t>Chinese ships in disputed waters: Japan coast guard  .  Three Chinese coast guard ships sailed through disputed waters off Tokyo-controlled islands in the E</t>
  </si>
  <si>
    <t>1st ODI: Sri Lanka thrash SA by 180 runs  .  Sangakkara smashed his highest one-day score of 169 off 137 balls as Sri Lanka thrashed South Africa</t>
  </si>
  <si>
    <t>LKA ZAF</t>
  </si>
  <si>
    <t>Trump issues memorandum to protect USA investors from Chinese companies  .   It is wrong and dangerous for China to benefit from USA capital markets without complying with criti</t>
  </si>
  <si>
    <t>Vatican ramps up opposition to Syria strikes  .  The Vatican is ramping up its opposition to threatened military strikes against Syria.    </t>
  </si>
  <si>
    <t>VAT SYR</t>
  </si>
  <si>
    <t>USA backs India, slams Pakistan for linking Afghan peace to Kashmir  .  Supporting India's "right to self-defence" in the aftermath of the Uri attack which it dubbed a "cle</t>
  </si>
  <si>
    <t>Saina Nehwal reaches Indonesia Open quarterfinals  .  Saina Nehwal breezed past Chinese Taipei's Hsu Ya Ching to make it to the quarterfinals of the Indon</t>
  </si>
  <si>
    <t>IDN CHN</t>
  </si>
  <si>
    <t>Saudi Arabia says "recent tensions" will not affect Syria talks: Saudi Press Agency  .  Saudi foreign minister Adel al-Jubeir said on Tuesday regional tensions would not affect talks aimed</t>
  </si>
  <si>
    <t xml:space="preserve">China's Xi fights fires on all fronts: Hong Kong, trade war &amp; economy  .  </t>
  </si>
  <si>
    <t>China says accusations against alleged spy 'out of thin air'  .  Foreign ministry spokesman Lu Kang dismissed the allegations and called on the USA to deal with the m</t>
  </si>
  <si>
    <t xml:space="preserve">China releases activist who supported Hong Kong democracy  .  Su Changlan, a 47-year-old primary school teacher was first detained in southern Guangdong province </t>
  </si>
  <si>
    <t>UK right activist to take up the case of Indian PoWs in Pakistan  .  Jas Uppal has announced she will move the International Court of Justice to pressurize Pakistan to d</t>
  </si>
  <si>
    <t>GBR PAK</t>
  </si>
  <si>
    <t>India launches neighbourhood space diplomacy  .  India will set up five large ground stations and more than 500 small terminals in Bhutan, Nepal, Mal</t>
  </si>
  <si>
    <t>BTN NPL</t>
  </si>
  <si>
    <t xml:space="preserve">Portugal vs Morocco Live Score, FIFA World Cup 2018: Portugal beat Morocco 1-0  .  </t>
  </si>
  <si>
    <t>PRT MAR</t>
  </si>
  <si>
    <t>Egypt demolishes homes for Gaza buffer  .  One day after an evacuation order, Egyptian Army bulldozers began demolishing houses along the borde</t>
  </si>
  <si>
    <t>UK military making contingency plans on Syria  .  The British government says its military is drawing up contingency plans for a possible military att</t>
  </si>
  <si>
    <t>Sony PlayStation TV to launch on October 14  .  Sony said PlayStation TV set-top box will hit stores in the United States and Canada on October 14.</t>
  </si>
  <si>
    <t>Not for other countries to comment on J&amp;K: MEA  .  India on Wednesday reacted sharply to reports of Chinese President Xi Jinping and Pakistan Prime Min</t>
  </si>
  <si>
    <t>Australian PM won't comment on report of terse Trump call  .  Australia's prime minister said his country's relationship with the United States remained "very str</t>
  </si>
  <si>
    <t>Israel Prime Minister Benjamin Netanyahu warns White House about Iran  .  Mortified that the world may be warming up to Iran, Israeli Prime Minister Benjamin Netanyahu is tak</t>
  </si>
  <si>
    <t>USA military strike in Syria unacceptable: Jaswant  .  Former external affairs minister and BJP MP Jaswant Singh on Wednesday raised the Syrian crisis in t</t>
  </si>
  <si>
    <t xml:space="preserve">Kuwait bans visa for 5 Muslim-majority nations, including Pakistan  .  </t>
  </si>
  <si>
    <t>KWT PAK</t>
  </si>
  <si>
    <t>Pak's blasphemy laws: USA warns against travel  .  The Pakistan government's continued enforcement of blasphemy laws is one among many reasons cited by</t>
  </si>
  <si>
    <t>‘War can spark power tussle between Iran and S Arabia’  .  President Obama says he is considering a “limited, narrow” military strike against Syria — an aim th</t>
  </si>
  <si>
    <t>China releases new list of items banned for export to N Korea  .  China has released a new list of items banned for export to North Korea, following a new round of Un</t>
  </si>
  <si>
    <t xml:space="preserve">USA sending disaster response team to Nepal: Official  .  The United States is sending a disaster response team to earthquake-hit Nepal and has authorized an </t>
  </si>
  <si>
    <t xml:space="preserve">South Africa thrash Zimbabwe in two days  .  South Africa crushed Zimbabwe by an innings and 120 runs inside two days in their one-off day-night </t>
  </si>
  <si>
    <t>ZAF ZWE</t>
  </si>
  <si>
    <t>USA aid delivered to Japan's quake-hit areas  .  USA aid delivered to Japan's quake-hit areas</t>
  </si>
  <si>
    <t>China welcomes India joining search, criticizes Malaysia  .  China is extremely critical about Malaysia’s leadership of the search and what it regards as delayed</t>
  </si>
  <si>
    <t>CHN MYS</t>
  </si>
  <si>
    <t xml:space="preserve">Sergei Lavrov tells Mike Pompeo time for 'responsible' Russia-USA ties  .  Russian Foreign Minister Sergei Lavrov told USA Secretary of State Mike Pompeo that Moscow was ready </t>
  </si>
  <si>
    <t xml:space="preserve">Live Score: South Africa vs Australia, 2nd T20I  .  </t>
  </si>
  <si>
    <t>ZAF AUS</t>
  </si>
  <si>
    <t>British-Iranian student arrested for attending a volleyball match goes on hunger strike  .  A British-Iranian student being held in Iran’s notorious political prison after being arrested for a</t>
  </si>
  <si>
    <t>GBR IRN</t>
  </si>
  <si>
    <t>Russia foils IS plot to blow up transport system  .  Highlighting a new terror threat to Russia raised by its air campaign in Syria, security officials s</t>
  </si>
  <si>
    <t xml:space="preserve">USA Senate panel approves bill to block $300 million aid to Pakistan  .  </t>
  </si>
  <si>
    <t xml:space="preserve">USA hits China with additional duties on $4.4 billion in cabinets  .  </t>
  </si>
  <si>
    <t>Pak 'won't allow' UN team access to Hafiz Saeed  .  Pakistan won't allow a sanctions monitoring team of the United Nations Security Council (USA ) any d</t>
  </si>
  <si>
    <t>SL captain declares Pakistan '200 percent' safe  .  Sri Lanka might have lost the series but signed off satisfied with safety and security measures in P</t>
  </si>
  <si>
    <t>USA shows force against North Korea, flies B-1B supersonic bomber  .  USA shows force against North Korea, flies B-1B supersonic bomber</t>
  </si>
  <si>
    <t>Author JK Rowling blasts Israel for brutal and unjust treatment of Palestinian people  .  Author J K Rowling has now come out openly in support of Palestine and has strongly criticised the I</t>
  </si>
  <si>
    <t xml:space="preserve">First financing by China-backed AIIB goes to Silk Road plan in Pakistan  .  </t>
  </si>
  <si>
    <t xml:space="preserve">Japan extends sanctions against Noth Korea for 2 more years  .  Japan says it will extend its sanctions against North Korea for two more years after they expire on </t>
  </si>
  <si>
    <t>Saudi Arabia hints at plan to isolate Qatar  .  A Saudi official hinted on Friday the kingdom was moving forward with a plan to dig a canal that wou</t>
  </si>
  <si>
    <t>Pompeo says Hong Kong no longer autonomous from China  .  Secretary of State of Mike Pompeo has notified Congress that the Trump administration no longer rega</t>
  </si>
  <si>
    <t>North Korea calls Bolton 'war monger' over missile comment  .  North Korea on Monday called USA National Security Adviser John Bolton a "war monger" after he called</t>
  </si>
  <si>
    <t>Oil at fresh 2016 highs on hopes of supply glut easing  .  Singapore, May 16, 2016 (AFP) -Oil rose to fresh 2016 highs in Asia Monday as a slowdown in USA drill</t>
  </si>
  <si>
    <t>India-China joint military exercise on 'counter terrorism' on Pakistan border in November  .  The armies of India and China would carry a joint military exercise on counter-terrorism on the bord</t>
  </si>
  <si>
    <t xml:space="preserve">USA Mexico border: Latest News, Videos and Photos of USA Mexico border | Times of India  .  </t>
  </si>
  <si>
    <t xml:space="preserve">Afghanistan to host Ireland for full tour in India  .  Afghanistan and Ireland will play a full tour, comprising three T20 Internationals, five ODIs and a </t>
  </si>
  <si>
    <t>AFG IRL</t>
  </si>
  <si>
    <t>FIFA World Cup live: Sweden vs South Korea  .  Stay updated with Times of India for all the Football live score updates of 2018 FIFA World Cup matc</t>
  </si>
  <si>
    <t>SWE KOR</t>
  </si>
  <si>
    <t xml:space="preserve">276 Indians, including 255 in Iran, infected with coronavirus abroad: MEA  .  As many as 276 Indians have been infected with coronavirus abroad, including 255 in Iran, 12 in UAE </t>
  </si>
  <si>
    <t>IRN ARE</t>
  </si>
  <si>
    <t>Japan recalls envoy to S Korea over 'comfort woman' statue  .  Japan said it had decided to temporarily recall its ambassador to South Korea to protest the placing</t>
  </si>
  <si>
    <t>JPN KOR</t>
  </si>
  <si>
    <t>Maldives will look to balance interests of India and China: Ex-minister Maumoon  .  Dunya Maumoon, former foreign minister and a possible minister in Ibu Solih’s government, said Maldi</t>
  </si>
  <si>
    <t>MDV CHN</t>
  </si>
  <si>
    <t>Joining USA after 9/11 major blunder by Pak: Imran  .  Prime Minister Imran Khan admitted that Pakistan committed &amp;quot;one of the biggest blunders&amp;quot; b</t>
  </si>
  <si>
    <t xml:space="preserve">Thousands gather at Gaza-Israel border on anniversary in test of truce  .  </t>
  </si>
  <si>
    <t>UAE says it's surprised by laptop ban but will cooperate  .  USA-AIRLINES/ELECTRONICS-EMIRATES:UAE says it's surprised by laptop ban but will cooperate</t>
  </si>
  <si>
    <t>MDV</t>
  </si>
  <si>
    <t>DEU_frankf</t>
  </si>
  <si>
    <t>german</t>
  </si>
  <si>
    <t>Benin: Die Beute-Bronzen  .  Vor 120 Jahren raubten die Briten Kunstschätze aus dem Königreich Benin. In Nigeria kennen selbst ju</t>
  </si>
  <si>
    <t>Vereinte Nationen: Norwegen und Irland in UN-Sicherheitsrat gewählt  .  Der UN-Sicherheitsrat, das einzige Gremium der Vereinten Nationen, das rechtlich bindende Resolution</t>
  </si>
  <si>
    <t>Nordkoreanisches Atomprogramm: Japan sieht erhebliche Fortschritte  .  Verfügt Nordkorea über nukleare Sprengköpfe, die für den Abschuss per Trägerrakete geeignet sind? Di</t>
  </si>
  <si>
    <t>Grenzstreit mit Guyana: Venezuela drangsaliert einen kleinen Nachbarn  .  Venezuelas Präsident Nicolás Maduro heizt einen alten Konflikt mit Guyana wieder an. Auslöser sind Ö</t>
  </si>
  <si>
    <t>Schuldenkrise: Amerika will IWF weiter an Griechenland-Rettung beteiligen  .  Sollte Griechenland zu Reformen bereit sein, will Amerika einem Bericht zufolge weitere IWF-Hilfen f</t>
  </si>
  <si>
    <t xml:space="preserve">EM-Qualifikation: Holland geht in der Türkei unter  .  Findet die Fußball-EM 2016 tatsächlich ohne die Niederländer statt? Nach einem blamablen 0:3 in der </t>
  </si>
  <si>
    <t>Vereinigte Staaten: Weißes Haus dementiert Auslieferung von Fethullah Gülen  .  Präsident Donald Trump habe nicht zugesagt, den Prediger Fethullah Gülen an die Türkei auszuliefern,</t>
  </si>
  <si>
    <t>Israels Armee zieht sich komplett aus Gaza zurück  .  Das israelische Militär will noch vor der Waffenruhe seine Bodentruppen komplett aus dem Gazastreife</t>
  </si>
  <si>
    <t>Ökonom Liu He soll Chinas Wirtschaft vor einem Angriff aus Amerika schützen  .  Er war in Harvard und hat Chinas Aufstieg akribisch vorbereitet. Jetzt soll Liu He die zweitgrößte V</t>
  </si>
  <si>
    <t>Nahost-Konflikt: Israels Armee fängt Schiff mit Aktivisten ab  .  Soldaten haben ein Schiff der Gaza-Flotte geentert und in einen Hafen eskortiert. Das Schiff ist Tei</t>
  </si>
  <si>
    <t>Fußball-Europameisterschaft: Auch Spanien und Schweiz qualifiziert  .  Während Weltmeister Deutschland noch nachsitzen muss, hat sich Europameister Spanien für die EM 2016</t>
  </si>
  <si>
    <t>Streit mit Griechenland: Türkei droht mit Aufkündigung des EU-Flüchtlingspakts  .  Weil Athen sich weigert, acht türkische Soldaten auszuliefern, die nach dem gescheiterten Militärput</t>
  </si>
  <si>
    <t>China und der Vatikan: Liebe zu Vaterland und Kirche  .  Papst Franziskus und der Vatikan haben sich in Geheimverhandlungen mit dem Regime in Peking angenähe</t>
  </si>
  <si>
    <t>Regierung erschwert Einwanderung vom Balkan  .  Die Bundesregierung will die Einwanderung von Asylbewerbern vom Balkan begrenzen. Albanien, Bosnien-</t>
  </si>
  <si>
    <t xml:space="preserve">Belgien liefert Terrorverdächtigen Abdeslam nach Frankreich aus  .  Der mutmaßliche Drahtzieher der Anschläge von Paris wird nach Frankreich überstellt. Salah Abdeslam </t>
  </si>
  <si>
    <t>Kreml sagt zu: Treffen deutscher Vertreter mit Snowden in Russland möglich  .  Edward Snowdens Dokumente über mutmaßliche Spionage Amerikas in Deutschland werfen viele Fragen auf.</t>
  </si>
  <si>
    <t>Las Patronas in Mexiko versorgen blinde Passagiere auf dem Weg nach Amerika  .  Durch ein Dorf in Zentralmexiko fährt ein Güterzug, vollgepackt mit blinden Passagieren: Menschen, d</t>
  </si>
  <si>
    <t>Erdogan kündigt Militäroperation im Norden Syriens an  .  Washington und Ankara konnten sich bislang nicht auf eine Pufferzone einigen. Die Türkei hat nun ein</t>
  </si>
  <si>
    <t>Geheime Dokumente: Hacker Nordkoreas erbeuteten offenbar brisante Militärdaten  .  Spezialisten des kommunistischen Regimes haben sich wohl in Rechner Südkoreas eingehackt. Sie sollen</t>
  </si>
  <si>
    <t>Kampf gegen Coronavirus: Russland schickt Italien Hilfe  .  Moskau will acht Brigaden mit entsprechender medizinischer Ausrüstung in das südeuropäische Land ver</t>
  </si>
  <si>
    <t>Amerika sieht Russland nach Angriff auf Hilfskonvoi unter Erklärungszwang  .  Noch ist unklar, ob syrische oder russische Flugzeuge für die tödliche Bombardierung eines Hilfskonv</t>
  </si>
  <si>
    <t>Hessen fordert Sprachkurse für Flüchtlinge  .  Bürgerkriegsflüchtlinge aus Syrien und dem Irak sollen schnell Deutsch lernen, wenn sie hierher komm</t>
  </si>
  <si>
    <t xml:space="preserve">Oberverwaltungsgericht Münster: Deutschland muss Amerikas Drohneneinsätze prüfen  .  Im Streit um die Verantwortung Deutschlands für amerikanische Drohnenangriffe im Jemen haben Kläger </t>
  </si>
  <si>
    <t>Flugzeugabschuss in Ukraine:Die schwierige Suche nach den Schuldigen  .  Noch ist unklar, wer für den Abschuss des Flugzeugs der Malaysia Airlines in der Ukraine verantwortl</t>
  </si>
  <si>
    <t>Russland: Putins Krieg in Syrien. Ein Kommentar von Nikolas Busse  .  Russland wagt ein neues militärisches Abenteuer und tritt in den Syrien-Krieg ein. Das könnte die We</t>
  </si>
  <si>
    <t>Zapfsäulen von Mali bis Malaysia - So tankt die Welt  .  Ob auf dem Wasser, aus der Flasche oder unter Palmen: Von Malaysia bis Los Angeles haben Tankstellen</t>
  </si>
  <si>
    <t>Machtkampf im Jemen: Teherans Triumph  .  Der Vormarsch der von Iran unterstützten Houthi-Rebellen schürt Einkreisungsängste der Sunniten. Sau</t>
  </si>
  <si>
    <t>Krieg in Syrien: Das umkämpfte Tor nach Raqqa  .  Beim Vormarsch auf Al Bab stoßen die Türkei und ihre Verbündeten auf heftige Gegenwehr des „Islamisc</t>
  </si>
  <si>
    <t>Al Qaida finanziert sich zunehmend durch Lösegeld  .  Amerika und Großbritannien zahlen angeblich keine Lösegelder - im Gegensatz zu den Europäern. So hab</t>
  </si>
  <si>
    <t>Nordkorea ruft Südkoreaner zum Verlassen von Fabrikpark auf  .  Einst sollte der gemeinsam von Nord- und Südkorea betriebene Industriekomplex Kaesong ein Zeichen de</t>
  </si>
  <si>
    <t>Angriffe auf Kurden: Irak bestellt türkischen Botschafter ein  .  Die Türkei unterhält im Nordirak Stützpunkte, von denen immer wieder Angriffe auf die PKK geflogen w</t>
  </si>
  <si>
    <t xml:space="preserve">Trump droht China: Flucht nach vorn  .  Amerikas Präsident greift China scharf an: Er habe nachrichtendienstliche Hinweise darauf, dass das </t>
  </si>
  <si>
    <t xml:space="preserve">Ukraine-Krise: Klitschko greift deutsche Wirtschaft an  .  Kiews Bürgermeister Vitali Klitschko fordert schärfere Sanktionen gegen Russland. Einigen deutschen </t>
  </si>
  <si>
    <t>Spanien und Marokko streiten um Rohstoffe im Atlantik  .  Spanien und Marokko beanspruchen beide ein Stück Meeresgrund zwischen den Kanarischen Inseln und dem</t>
  </si>
  <si>
    <t>Einwanderer in Deutschland: „Ich bin Teil der Mittelschicht“  .  Schon seit vielen Jahren kommen Einwanderer aus Rumänien und Bulgarien nach Deutschland. In der hitz</t>
  </si>
  <si>
    <t>Russlands Einsatz in Syrien: Ein heiliger Kampf gegen den Terror  .  Der Kreml versucht den Russen den Einsatz in Syrien als legitimen Antiterroreinsatz zu verkaufen. Do</t>
  </si>
  <si>
    <t>Indonesien: Vulkan Sangeang weiterhin aktiv  .  Der indonesische Vulkan Sangeang spuckt weiter Feuer. In Australien ist der wegen des Ausbruchs teil</t>
  </si>
  <si>
    <t>Assads Krieg wird Putins Krieg  .  Russland kämpft an Assads Seite – damit ist auch die Hoffnung dahin, das Atomabkommen mit Iran könne</t>
  </si>
  <si>
    <t>„Rumänen und Bulgaren“-Satz: SPD fordert Entschuldigung von Laschet  .  Der NRW-Ministerpräsident hat aus Rumänien und Bulgarien eingereiste Arbeiter als Ursache für den Co</t>
  </si>
  <si>
    <t xml:space="preserve">40 Migranten im Ärmelkanal gerettet  .  Immer wieder versuchen Migranten, den Ärmelkanal von Frankreich nach Großbritannien zu überqueren – </t>
  </si>
  <si>
    <t>Das beste Pressefoto des Jahres  .  Afrikanische Migranten in Dschibuti, die versuchen, ein billiges Handysignal aus Somalia zu bekommen</t>
  </si>
  <si>
    <t xml:space="preserve">Coronavirus: Trump droht China Konsequenzen  .  Amerikas Präsident macht China für die Coronavirus-Pandemie verantwortlich – und befeuert Theorien, </t>
  </si>
  <si>
    <t>TV-Kritik: „Maybrit Illner“: Jamaika oder Spanien  .  Die deutsche Politik dreht sich immer noch um sich selbst. Das ist so kurz nach den Bundestagswahlen</t>
  </si>
  <si>
    <t>Wegen Trumps Politik: Flüchtlinge verlassen Vereinigte Staaten nach Kanada  .  Sie überqueren die Grenze nach Kanada zu Fuß, und ihre Zahl nimmt massiv zu. Die Flüchtlinge, die nu</t>
  </si>
  <si>
    <t>Wahlkampf in Minneapolis: Trump setzt weiter auf Hass  .  Trotz Amtsenthebungs-Ermittlungen und Ukraine-Affäre: Amerikas Präsident lässt sich abermals für Bes</t>
  </si>
  <si>
    <t>Bart-WM in Österreich: Vereinigte Staaten räumen ab  .  Zugewuchert oder hübsch gezwirbelt: 350 Bartträger aus 20 Nationen haben in Österreich ihre Gesichts</t>
  </si>
  <si>
    <t>Kommentar: Fifa muss den Bericht veröffentlichen  .  Die Fifa spricht sich frei, doch die Diskussion um die WM-Vergaben nach Russland und Qatar sind dami</t>
  </si>
  <si>
    <t>Steinmeier in Washington - Kerry: Iran muss eine Entscheidung treffen  .  Zum Auftakt seiner Amerika-Reise hat Außenminister Steinmeier seinen Amtskollegen Kerry getroffen. G</t>
  </si>
  <si>
    <t>Nordkorea-Krise: McMaster sieht „warmherzige Beziehung“ zwischen Trump und Xi  .  Noch vor wenigen Wochen hatte Donald Trump nur heftige Kritik für China übrig. Aber jetzt, durch die</t>
  </si>
  <si>
    <t>Konflikt um Kaschmir: Pakistan verweigert indischem Premier Modi Überflug  .  Pakistan und Indien streiten seit Jahrzehnten um die Region Kaschmir. Wegen einer kürzlichen Eskalat</t>
  </si>
  <si>
    <t>Flüchtlingskrise: Stau auf den Ägäisinseln  .  Die ersten Flüchtlinge sind von Griechenland nach Luxemburg ausgeflogen worden. Doch Zehntausende wa</t>
  </si>
  <si>
    <t xml:space="preserve">Südchinesisches Meer: China fängt amerikanisches Aufklärungsflugzeug ab  .  Zum ersten Mal führt Amerika Patrouillenfahrten über dem südchinesischen Meer durch. Das könnte die </t>
  </si>
  <si>
    <t>Russland lehnt Feuerpause in Syrien ab  .  Moskau sei bereit, über alle „sinnvollen Vorschläge“ für eine Waffenruhe nachzudenken, sagt Russland</t>
  </si>
  <si>
    <t xml:space="preserve">Warum die SPD nicht von Corbyn und Macron profitieren kann  .  In Frankreich und Großbritannien sorgen ganz unterschiedliche Sozialdemokraten für Furore. Doch ihr </t>
  </si>
  <si>
    <t>Jerusalem-Krise: Pence verschiebt Reise in den Nahen Osten  .  Geht es nur um die Steuerreform, oder will Amerikas Vizepräsident sich überlegen, wie er mit den zah</t>
  </si>
  <si>
    <t>Pompeos Israel-Besuch: Lob für Netanjahu, Kritik an Peking  .  Der amerikanische Außenminister Mike Pompeo spricht bei seinem Kurzbesuch in Israel über Iran und di</t>
  </si>
  <si>
    <t>Analysten gehen von weiter steigenden Ölpreisen aus  .  Amerikas Regierung will bei den Sanktionen gegen Ölimporte aus Iran keine Ausnahmen mehr erlauben. A</t>
  </si>
  <si>
    <t>Was bedeutet die Nafta-Einigung für die deutsche Autoindustrie?  .  Nach der Vereinbarung zwischen Amerika und Mexiko stehen die Zeichen mit Trump auf Annäherung. Das t</t>
  </si>
  <si>
    <t>Pakistan/Indien: Tausende flüchten vor Hochwasser  .  In Pakistan sind mehr als 100 Dörfer überschwemmt, in Indien drängen sich Hunderte Menschen in Krank</t>
  </si>
  <si>
    <t>Russland schickt wieder umstrittenen Hilfskonvoi  .  Gegen den Willen der Ukraine hat Moskau abermals einen Hilfskonvoi mit 170 Lastwagen in den Osten de</t>
  </si>
  <si>
    <t>Venezuela: China rückt heimlich von Maduro ab  .  Im venezolanischen Machtkampf will China nicht auf der falschen Seite stehen. Pekings Diplomaten ver</t>
  </si>
  <si>
    <t>Interview vor Gipfel: Trump bezeichnet EU, Russland und China als „Gegner“  .  Die EU betrachtet der amerikanische Präsident als Gegner der Vereinigten Staaten. In einem Fernsehin</t>
  </si>
  <si>
    <t>Sport kompakt: Gold für Kiribati  .  Keiner reißt und stößt wie Katoatau ++ Petkovic besiegt eine Japanerin ++  Nadal bangt um USA Open ++</t>
  </si>
  <si>
    <t>Steinmeier: Dürfen Frankreich bei Militäreinsätzen nicht alleine lassen  .  Frankreich habe Mali davor gerettet, von islamistischen Fundamentalisten „überrannt“ zu werden, sagt</t>
  </si>
  <si>
    <t>Trump wirft Iran Zusammenarbeit mit Nordkorea vor  .  Der amerikanische Präsident sieht Irans Raketentest als Beleg für die Schwäche des Atomabkommens. An</t>
  </si>
  <si>
    <t>Ni hao aus Peking: China könnte Taiwan 2020 angreifen  .  Angesichts der Aufrüstung in der Volksrepublik fürchtet der Inselstaat eine Invasion. Zumindest Chin</t>
  </si>
  <si>
    <t>Mexiko liefert Drogenboss Serrano an Amerika aus  .  Er soll als Kokain-Schmuggler die treibende Kraft hinter einem ganzen Netzwerk für Süd- und Zentrala</t>
  </si>
  <si>
    <t>Fußball-WM 2018: Russland streicht Hotels für Fans  .  Die Rubel-Schwäche, der niedrige Ölpreis und westliche Sanktionen in der Ukraine-Krise machen Russla</t>
  </si>
  <si>
    <t>China: Angst vor dem Krim-Virus  .  China will Russland nicht verurteilen – fühlt sich aber unbehaglich. Schließlich gibt es kaum etwas,</t>
  </si>
  <si>
    <t>Der Direktor des Kissinger-Instituts über Amerikas China-Politik  .  Nicht nur wirtschaftliche Herausforderung, sonder auch ideologischer Rivale: Was Trump mit seiner Ch</t>
  </si>
  <si>
    <t>Amerika will China zu mehr Importen zwingen  .  Trump schimpft ungebremst über Handelsbilanzdefizite und verbreitet Pessimismus. China hingegen könn</t>
  </si>
  <si>
    <t>Was Griechenland von Zypern in der Schuldenkrise lernen kann  .  Die Inselrepublik hat in der Krise Kapitalverkehrskontrollen eingeführt und damit ihre Wirtschaft st</t>
  </si>
  <si>
    <t>Russischer Kampfflieger bedrängt amerikanischen Jet  .  Ein Zwischenfall über dem Schwarzen Meer verschärft die Spannungen zwischen Amerika und Russland. Wa</t>
  </si>
  <si>
    <t>Tausende australische Schafe verenden auf dem Weg in den Mittleren Osten  .  Auf einem Frachtschiff, das Schafe lebend von Australien nach Qatar transportieren sollte, sind im v</t>
  </si>
  <si>
    <t>Frankreich beliefert Kurden im Irak mit Waffen  .  Frankreich will die Kurden im Irak mit Waffen für den Kampf gegen die Terrorgruppe Islamischer Staat</t>
  </si>
  <si>
    <t>Russlands Rolle im Libyen-Konflikt bereitet EUSA rgen über Vermittlungen  .  Libyen ist eine komplizierte Mischung aus politischen Grabenkämpfen und Kriminalität. „Wie im Wilden</t>
  </si>
  <si>
    <t>: Steinmeier fordert Russland zur Fortsetzung der Gas-Verhandlungen mit der Ukraine auf  .  Durch den Lieferstreit zwischen Russland und der Ukraine sieht Bundesaußenminister Steinmeier die Ga</t>
  </si>
  <si>
    <t>Gefängnisstrafen für Vergewaltiger von Schweizerin in Indien  .  Sechs indische Männer, die vor vier Monaten eine Touristin aus der Schweiz vergewaltigten und ausrau</t>
  </si>
  <si>
    <t xml:space="preserve">Gunst der Deutschen: China gewinnt, Amerika verliert  .  Die Coronavirus-Pandemie macht China in den Augen vieler Bundesbürger plötzlich zum unverzichtbaren </t>
  </si>
  <si>
    <t>Syrien beantragt Beitritt zu Chemiewaffenkonvention  .  US-Außenminister Kerry und sein russischer Amtkollege Lawrow wollen ihre Syrien-Beratungen in der Sc</t>
  </si>
  <si>
    <t>EU-Liste für Einreisen: Kuba ja, Amerika nein  .  Europa wieder Einreisen aus Drittstaaten von Juli an zulassen – wenn die Corona-Lage dort mindestens</t>
  </si>
  <si>
    <t>Grafik des Tages: Deutsche Produkte haben Spitzenqualität  .  Ob in Korea, der Türkei oder Saudi-Arabien: In Deutschland hergestellte Produkte genießen auf der ga</t>
  </si>
  <si>
    <t xml:space="preserve">Bundestrainer Löw: „Wir stehen unter Beobachtung“  .  0:0 gegen Frankreich, 2:1 gegen Peru: Bundestrainer Löw bewertet den Neustart nach der WM insgesamt </t>
  </si>
  <si>
    <t>Flüchtlingskrise: Bund schickt Polizisten nach Slowenien  .  Bundespolizisten sollen in Griechenland und Slowenien helfen, die Zuwanderung von Flüchtlingen zu ko</t>
  </si>
  <si>
    <t>Streit der EU-Kommissare um Defizitsünder  .  Der Ausgang der Diskussion über Spanien und Portugal ist offen. Es gibt Befürworter und Gegner von s</t>
  </si>
  <si>
    <t>Amerika und Syrien: Kein Regimewechsel  .  Washington bereitet sich auf begrenzte Luftschläge vor, um Nachahmer abzuschrecken. Ein Sturz Assads</t>
  </si>
  <si>
    <t xml:space="preserve">Nach russischen Informationen: Amerika bereitet Angriff auf Syrien vor  .  Die Vereinigten Staaten haben im Mittelmeer ihre Flotte deutlich verstärkt. Das berichten russische </t>
  </si>
  <si>
    <t>Verschärfte Defizitverfahren gegen Spanien und Portugal  .  Die EU-Kommission hat Spanien und Portugal jetzt offiziell bescheinigt, ihre Haushaltsvorgaben nicht</t>
  </si>
  <si>
    <t>Amerika prüft „militärische Optionen“ in Libyen  .  Libyen droht im Chaos zu versinken, die Terrormiliz IS wird hingegen immer stärker. Nun erwägt Ameri</t>
  </si>
  <si>
    <t>Handelskrieg: Pompeo wirbt um Südostasien und stichelt gegen China  .  China treibe Staaten in die Schuldenfalle, Amerikas Investitionen führten dagegen nicht in die Abhän</t>
  </si>
  <si>
    <t>Fusion von Nord- und Südkorea: „Das ist ein Riesending“  .  Eigentlich sollten die Tischtennis-Teams von Nord- und Südkorea bei der WM in Schweden im Viertelfin</t>
  </si>
  <si>
    <t>Frauenfußball-EM: Schweden und Italien mit guten Viertelfinal-Chancen  .  Gastgeber Schweden und Italien sind bei der Fußball-Europameisterschaft der Frauen auf einem guten W</t>
  </si>
  <si>
    <t>Afghanistan: Die First Lady bleibt meist im Palast  .  Sie ist eine Christin aus dem Libanon. Vielen gefällt das nicht an der Frau des afghanischen Präside</t>
  </si>
  <si>
    <t>Handball-WM in Japan: Deutsche Frauen besiegen Rekord-Olympiasieger  .  Erstmals seit 19 Jahren gewinnen die Handballerinnen ein Pflichtspiel gegen Dänemark. Mit dem Erfolg</t>
  </si>
  <si>
    <t>Streit um Grenzmauer: Erste Klage gegen Notstandsverordnung  .  Im Streit um Amerikas mögliche Grenzmauer zu Mexiko wächst der Widerstand gegen Donald Trumps Notsta</t>
  </si>
  <si>
    <t>Raketen aus Israel: Syrien meldet Angriff auf Flughafen Damaskus  .  Ein Waffenlager in der Nähe des Flughafens sei bei dem Angriff zerstört worden, berichten Opposition</t>
  </si>
  <si>
    <t>Flüchtlingsroute: Frieren vor dem balkanischen Nadelöhr  .  Seit Ungarn seine Grenzen geschlossen hat, staut sich der Flüchtlingsstrom zwischen Slowenien und Kr</t>
  </si>
  <si>
    <t>Amerika verliert Machtkampf mit China  .  Mit allen Mitteln haben die Vereinigten Staaten versucht, eine chinesische Konkurrenz zur Weltbank z</t>
  </si>
  <si>
    <t>Huthi-Rebellen: Hunderte saudische Soldaten gefangen  .  Nach eigenen Angaben haben die von Iran unterstützten Huthi-Rebellen im Jemen Hunderte Gefangene gem</t>
  </si>
  <si>
    <t xml:space="preserve">Medizinnobelpreis geht an Zellforscher aus Amerika und Großbritannien  .  Die beiden Amerikaner William Kaelin und Gregg Semenza sowie der Brite Peter Ratcliffe sind mit dem </t>
  </si>
  <si>
    <t>BEN NGA</t>
  </si>
  <si>
    <t>NOR IRL</t>
  </si>
  <si>
    <t>GUY VEN</t>
  </si>
  <si>
    <t>USA GRC</t>
  </si>
  <si>
    <t>ESP CHE</t>
  </si>
  <si>
    <t>CHN VAT</t>
  </si>
  <si>
    <t>ALB BIH</t>
  </si>
  <si>
    <t>BEL FRA</t>
  </si>
  <si>
    <t>RUS ITA</t>
  </si>
  <si>
    <t>MLI MYS</t>
  </si>
  <si>
    <t>YEM IRN</t>
  </si>
  <si>
    <t>IRQ TUR</t>
  </si>
  <si>
    <t>ROM BGR</t>
  </si>
  <si>
    <t>DJI SOM</t>
  </si>
  <si>
    <t>JAM ESP</t>
  </si>
  <si>
    <t>AUT USA</t>
  </si>
  <si>
    <t>GRC LUX</t>
  </si>
  <si>
    <t>VEN CHN</t>
  </si>
  <si>
    <t>KIR USA</t>
  </si>
  <si>
    <t>IRN PRK</t>
  </si>
  <si>
    <t>GRC CYP</t>
  </si>
  <si>
    <t>AUS QAT</t>
  </si>
  <si>
    <t>FRA IRQ</t>
  </si>
  <si>
    <t>RUS LBY</t>
  </si>
  <si>
    <t>IND CHE</t>
  </si>
  <si>
    <t>TUR SAU</t>
  </si>
  <si>
    <t>FRA PER</t>
  </si>
  <si>
    <t>SVN GRC</t>
  </si>
  <si>
    <t>USA LBY</t>
  </si>
  <si>
    <t>KOR SWE</t>
  </si>
  <si>
    <t>SWE ITA</t>
  </si>
  <si>
    <t>AFG LBN</t>
  </si>
  <si>
    <t>JPN DNK</t>
  </si>
  <si>
    <t>HUN SVN</t>
  </si>
  <si>
    <t>IRN YEM</t>
  </si>
  <si>
    <t>Bénin : les bronzes pillés  .  Il y a 120 ans, les Britanniques ont pillé les trésors artistiques du royaume du Bénin. Au Nigeria, même les ju</t>
  </si>
  <si>
    <t>Nations Unies : la Norvège et l'Irlande élues au Conseil de sécurité de l'ONU  .  Le Conseil de sécurité de l'ONU, seul organe des Nations Unies habilité à adopter des résolutions juridiquement contraignantes</t>
  </si>
  <si>
    <t>Programme nucléaire nord-coréen : le Japon constate des progrès considérables  .  La Corée du Nord dispose-t-elle d’ogives nucléaires pouvant être lancées par un missile ? Di</t>
  </si>
  <si>
    <t xml:space="preserve">Conflit frontalier avec la Guyane : le Venezuela malmène un petit voisin  .  Le président vénézuélien Nicolás Maduro ravive un vieux conflit avec la Guyane. Le déclencheur est la </t>
  </si>
  <si>
    <t>crise de la dette : les États-Unis veulent que le FMI continue de participer au sauvetage de la Grèce  .  Si la Grèce se montre prête à mener des réformes, les États-Unis seraient disposés, selon un rapport, à accorder une aide supplémentaire du FMI</t>
  </si>
  <si>
    <t xml:space="preserve">Qualifications pour l'Euro : les Pays-Bas s'effondrent en Turquie  .  L'Euro 2016 se déroulera-t-il vraiment sans les Néerlandais ? Après une défaite humiliante 0-3 en </t>
  </si>
  <si>
    <t>États-Unis : la Maison Blanche dément l'extradition de Fethullah Gülen  .  Le président Donald Trump n'aurait pas accepté d'extrader le prédicateur Fethullah Gülen vers la Turquie,</t>
  </si>
  <si>
    <t>L'armée israélienne se retire complètement de Gaza  .  L'armée israélienne souhaite retirer complètement ses troupes terrestres de la bande de Gaza avant même le cessez-le-feu</t>
  </si>
  <si>
    <t>L'économiste Liu He doit protéger l'économie chinoise d'une attaque américaine  .  Il a étudié à Harvard et a méticuleusement préparé l'ascension de la Chine. Liu He doit désormais protéger la deuxième plus grande économie</t>
  </si>
  <si>
    <t>Conflit au Proche-Orient : l'armée israélienne intercepte un navire transportant des militants  .  Des soldats ont arraisonné un navire de la flotte de Gaza et l'ont escorté vers un port. Le navire fait partie de la</t>
  </si>
  <si>
    <t>Championnat d'Europe de football : l'Espagne et la Suisse se sont également qualifiées  .  Alors que l'Allemagne, championne du monde, doit encore passer par les barrages, l'Espagne, championne d'Europe, s'est qualifiée pour l'Euro 2016</t>
  </si>
  <si>
    <t>Conflit avec la Grèce : la Turquie menace de dénoncer le pacte européen sur les réfugiés  .  En raison du refus d'Athènes d'extrader huit soldats turcs impliqués dans le putsch militaire manqué</t>
  </si>
  <si>
    <t>La Chine et le Vatican : amour de la patrie et de l'Église  .  Le pape François et le Vatican se sont rapprochés du régime de Pékin lors de négociations secrètes</t>
  </si>
  <si>
    <t>Le gouvernement complique l'immigration en provenance des Balkans  .  Le gouvernement fédéral souhaite limiter l'immigration des demandeurs d'asile en provenance des Balkans. Albanie, Bosnie-</t>
  </si>
  <si>
    <t>La Belgique extrade le suspect terroriste Abdeslam vers la France  .  Le commanditaire présumé des attentats de Paris est transféré en France. Salah Abdeslam</t>
  </si>
  <si>
    <t>Le Kremlin donne son accord : une rencontre entre des représentants allemands et Snowden en Russie est possible  .  Les documents d’Edward Snowden sur l’espionnage présumé des États-Unis en Allemagne soulèvent de nombreuses questions.</t>
  </si>
  <si>
    <t>Las Patronas, au Mexique, prennent en charge des passagers clandestins en route vers les États-Unis  .  Un train de marchandises, bondé de passagers clandestins, traverse un village du centre du Mexique : des personnes qui</t>
  </si>
  <si>
    <t>Erdogan annonce une opération militaire dans le nord de la Syrie  .  Washington et Ankara ne sont pas encore parvenus à s'entendre sur une zone tampon. La Turquie a désormais un</t>
  </si>
  <si>
    <t>Documents secrets : des hackers nord-coréens auraient dérobé des données militaires sensibles  .  Des spécialistes du régime communiste auraient piraté des ordinateurs sud-coréens. Ils auraient</t>
  </si>
  <si>
    <t>Lutte contre le coronavirus : la Russie envoie de l’aide à l’Italie  .  Moscou prévoit d’envoyer huit brigades dotées d’équipements médicaux adaptés dans ce pays d’Europe du Sud</t>
  </si>
  <si>
    <t>Les États-Unis exigent des explications de la Russie après l'attaque d'un convoi humanitaire  .  On ignore encore si ce sont des avions syriens ou russes qui ont procédé au bombardement meurtrier d'un convoi humanitaire</t>
  </si>
  <si>
    <t>La Hesse réclame des cours de langue pour les réfugiés  .  Les réfugiés de la guerre civile en Syrie et en Irak doivent apprendre rapidement l'allemand lorsqu'ils arrivent ici</t>
  </si>
  <si>
    <t xml:space="preserve">Cour administrative supérieure de Münster : l'Allemagne doit examiner les missions de drones américains  .  Dans le litige concernant la responsabilité de l'Allemagne dans les attaques de drones américains au Yémen, les plaignants </t>
  </si>
  <si>
    <t>Abattage d'un avion en Ukraine : la difficile recherche des coupables  .  On ignore encore qui est responsable de l'abattage de l'avion de Malaysia Airlines en Ukraine</t>
  </si>
  <si>
    <t>Russie : la guerre de Poutine en Syrie. Un commentaire de Nikolas Busse  .  La Russie se lance dans une nouvelle aventure militaire et entre en guerre en Syrie. Cela pourrait avoir des conséquences sur la</t>
  </si>
  <si>
    <t>Des pompes à essence du Mali à la Malaisie – Comment le monde fait le plein  .  Que ce soit sur l'eau, en bouteille ou sous les palmiers : de la Malaisie à Los Angeles, les stations-service</t>
  </si>
  <si>
    <t>Lutte de pouvoir au Yémen : le triomphe de Téhéran  .  L'avancée des rebelles houthis soutenus par l'Iran attise les craintes d'encerclement chez les sunnites. Sau</t>
  </si>
  <si>
    <t>Guerre en Syrie : la porte disputée vers Raqqa  .  Lors de leur avancée sur Al-Bab, la Turquie et ses alliés se heurtent à une violente résistance de la part de l'« État islamique »</t>
  </si>
  <si>
    <t>Al-Qaïda se finance de plus en plus par les rançons  .  Les États-Unis et la Grande-Bretagne ne paieraient apparemment pas de rançons, contrairement aux Européens. C'est ainsi que</t>
  </si>
  <si>
    <t>La Corée du Nord appelle les Sud-Coréens à quitter le parc industriel  .  Autrefois, le complexe industriel de Kaesong, exploité conjointement par la Corée du Nord et la Corée du Sud, devait être un symbole de</t>
  </si>
  <si>
    <t>Attaques contre les Kurdes : l'Irak convoque l'ambassadeur turc  .  La Turquie dispose de bases dans le nord de l’Irak, d’où sont régulièrement lancées des attaques contre le PKK</t>
  </si>
  <si>
    <t xml:space="preserve">Trump menace la Chine : la fuite en avant  .  Le président américain attaque violemment la Chine : il disposerait d’informations des services de renseignement indiquant que la </t>
  </si>
  <si>
    <t xml:space="preserve">Crise ukrainienne : Klitschko s’en prend à l’économie allemande  .  Le maire de Kiev, Vitali Klitschko, réclame des sanctions plus sévères contre la Russie. Certains Allemands </t>
  </si>
  <si>
    <t>L'Espagne et le Maroc se disputent des ressources naturelles dans l'Atlantique  .  L'Espagne et le Maroc revendiquent tous deux une partie des fonds marins entre les îles Canaries et le</t>
  </si>
  <si>
    <t>Immigré en Allemagne : « Je fais partie de la classe moyenne »  .  Depuis de nombreuses années déjà, des immigrés viennent de Roumanie et de Bulgarie en Allemagne. Dans le feu de l'action</t>
  </si>
  <si>
    <t>L'intervention de la Russie en Syrie : une guerre sainte contre le terrorisme  .  Le Kremlin tente de faire passer l'intervention en Syrie comme une opération antiterroriste légitime auprès des Russes. Do</t>
  </si>
  <si>
    <t>Indonésie : le volcan Sangeang toujours en activité  .  Le volcan indonésien Sangeang continue de cracher du feu. En Australie, l’épidémie a entraîné</t>
  </si>
  <si>
    <t>La guerre d’Assad devient celle de Poutine  .  La Russie combat aux côtés d’Assad – l’espoir que l’accord sur le nucléaire avec l’Iran puisse</t>
  </si>
  <si>
    <t>La phrase sur les « Roumains et Bulgares » : le SPD exige des excuses de Laschet  .  Le ministre-président de Rhénanie-du-Nord-Westphalie a désigné les travailleurs venus de Roumanie et de Bulgarie comme responsables de la</t>
  </si>
  <si>
    <t xml:space="preserve">40 migrants sauvés dans la Manche  .  Les migrants tentent sans cesse de traverser la Manche de la France vers la Grande-Bretagne – </t>
  </si>
  <si>
    <t>La meilleure photo de presse de l’année  .  Des migrants africains à Djibouti qui tentent de capter un signal de téléphonie mobile bon marché en provenance de Somalie</t>
  </si>
  <si>
    <t xml:space="preserve">Coronavirus : Trump menace la Chine de représailles  .  Le président américain tient la Chine pour responsable de la pandémie de coronavirus – et alimente les théories du complot, </t>
  </si>
  <si>
    <t>Critique télé : « Maybrit Illner » : la Jamaïque ou l’Espagne  .  La politique allemande tourne toujours en rond. C’est ainsi peu après les élections fédérales</t>
  </si>
  <si>
    <t>À cause de la politique de Trump : des réfugiés quittent les États-Unis pour le Canada  .  Ils traversent la frontière canadienne à pied, et leur nombre augmente massivement. Les réfugiés qui nu</t>
  </si>
  <si>
    <t>Campagne électorale à Minneapolis : Trump continue de miser sur la haine  .  Malgré les enquêtes de destitution et l’affaire ukrainienne : le président américain se laisse une nouvelle fois entraîner dans des</t>
  </si>
  <si>
    <t>Championnat du monde de la barbe en Autriche : les États-Unis raflent la mise  .  Que ce soit hirsute ou joliment taillée : 350 barbus de 20 nations ont présenté leur barbe en Autriche</t>
  </si>
  <si>
    <t>Commentaire : la FIFA doit publier le rapport  .  La FIFA se disculpe, mais le débat sur l’attribution des Coupes du monde à la Russie et au Qatar n’en est pas pour autant terminé</t>
  </si>
  <si>
    <t>Steinmeier à Washington – Kerry : l’Iran doit prendre une décision  .  Pour le coup d’envoi de son voyage aux États-Unis, le ministre des Affaires étrangères Steinmeier a rencontré son homologue Kerry. G</t>
  </si>
  <si>
    <t>Crise nord-coréenne : McMaster voit une « relation chaleureuse » entre Trump et Xi  .  Il y a quelques semaines encore, Donald Trump n’avait que des critiques virulentes à l’égard de la Chine. Mais aujourd’hui, en raison du</t>
  </si>
  <si>
    <t>Conflit au Cachemire : le Pakistan refuse le survol à Modi, le Premier ministre indien  .  Le Pakistan et l’Inde se disputent la région du Cachemire depuis des décennies. En raison d’une récente escalade</t>
  </si>
  <si>
    <t>Crise des réfugiés : embouteillage sur les îles de la mer Égée  .  Les premiers réfugiés ont été évacués par avion de Grèce vers le Luxembourg. Mais des dizaines de milliers de personnes</t>
  </si>
  <si>
    <t>Mer de Chine méridionale : la Chine intercepte un avion de reconnaissance américain  .  Pour la première fois, les États-Unis effectuent des patrouilles au-dessus de la mer de Chine méridionale. Cela pourrait</t>
  </si>
  <si>
    <t>La Russie rejette un cessez-le-feu en Syrie  .  Moscou serait prête à réfléchir à toutes les « propositions sensées » en faveur d’un cessez-le-feu, déclare la Russie</t>
  </si>
  <si>
    <t xml:space="preserve">Pourquoi le SPD ne peut pas tirer profit de Corbyn et Macron  .  En France et en Grande-Bretagne, des sociaux-démocrates très différents font sensation. Mais leur </t>
  </si>
  <si>
    <t>Crise à Jérusalem : Pence reporte son voyage au Proche-Orient  .  S'agit-il uniquement de la réforme fiscale, ou le vice-président américain souhaite-t-il réfléchir à la manière de gérer les nombreuses</t>
  </si>
  <si>
    <t>Visite de Pompeo en Israël : éloges pour Netanyahou, critiques envers Pékin  .  Lors de sa brève visite en Israël, le secrétaire d’État américain Mike Pompeo s’exprime sur l’Iran et la</t>
  </si>
  <si>
    <t>Les analystes tablent sur une nouvelle hausse des prix du pétrole  .  Le gouvernement américain ne veut plus accorder d’exceptions aux sanctions contre les importations de pétrole iranien. A</t>
  </si>
  <si>
    <t>Que signifie l'accord sur l'ALENA pour l'industrie automobile allemande ?  .  Après l'accord conclu entre les États-Unis et le Mexique, les signes d'un rapprochement avec Trump sont de mise. Cela</t>
  </si>
  <si>
    <t>Pakistan/Inde : des milliers de personnes fuient les inondations  .  Au Pakistan, plus de 100 villages sont inondés ; en Inde, des centaines de personnes s'entassent dans les hôpitaux</t>
  </si>
  <si>
    <t>La Russie envoie à nouveau un convoi humanitaire controversé  .  Contre la volonté de l'Ukraine, Moscou a une nouvelle fois envoyé un convoi humanitaire de 170 camions vers l'est de</t>
  </si>
  <si>
    <t>Venezuela : la Chine prend discrètement ses distances avec Maduro  .  Dans la lutte pour le pouvoir au Venezuela, la Chine ne veut pas se retrouver du mauvais côté. Les diplomates de Pékin</t>
  </si>
  <si>
    <t>Interview avant le sommet : Trump qualifie l'UE, la Russie et la Chine d'« adversaires »  .  Le président américain considère l'UE comme un adversaire des États-Unis. Dans une émission télévisée</t>
  </si>
  <si>
    <t>Le sport en bref : l'or pour Kiribati  .  Personne ne soulève et ne projette comme Katoatau ++ Petkovic bat une Japonaise ++  Nadal s'inquiète pour l'US Open ++</t>
  </si>
  <si>
    <t>Steinmeier : « Nous ne devons pas laisser la France seule dans ses opérations militaires ». La France a sauvé le Mali d’une « invasion » par les fondamentalistes islamistes, déclare</t>
  </si>
  <si>
    <t>Trump accuse l’Iran de coopérer avec la Corée du Nord. Le président américain considère les essais de missiles iraniens comme une preuve de la faiblesse de l’accord sur le nucléaire. À</t>
  </si>
  <si>
    <t>Ni hao depuis Pékin : la Chine pourrait attaquer Taïwan en 2020  .  Face au réarmement de la République populaire, l’État insulaire craint une invasion. Au moins la Chine</t>
  </si>
  <si>
    <t>Le Mexique extrade le baron de la drogue Serrano vers les États-Unis  .  En tant que trafiquant de cocaïne, il serait le cerveau d’un réseau entier pour l’Amérique du Sud et l’Amérique centrale</t>
  </si>
  <si>
    <t>Coupe du monde de football 2018 : la Russie supprime des hôtels pour les supporters  .  La faiblesse du rouble, le faible prix du pétrole et les sanctions occidentales dans le cadre de la crise ukrainienne mettent la Russie</t>
  </si>
  <si>
    <t>Chine : la crainte du « virus de la Crimée »  .  La Chine ne veut pas condamner la Russie – mais se sent mal à l’aise. Après tout, il n’y a guère de choses</t>
  </si>
  <si>
    <t>Le directeur de l’Institut Kissinger sur la politique américaine envers la Chine  .  Non seulement un défi économique, mais aussi un rival idéologique : ce que Trump vise avec sa Ch</t>
  </si>
  <si>
    <t>Les États-Unis veulent contraindre la Chine à importer davantage  .  Trump ne cesse de fulminer contre les déficits commerciaux et répand le pessimisme. La Chine, en revanche, pourrait</t>
  </si>
  <si>
    <t>Ce que la Grèce peut apprendre de Chypre dans la crise de la dette  .  La république insulaire a introduit des contrôles des mouvements de capitaux pendant la crise, affaiblissant ainsi son économie</t>
  </si>
  <si>
    <t>Un avion de chasse russe harcèle un jet américain  .  Un incident au-dessus de la mer Noire exacerbe les tensions entre les États-Unis et la Russie. Wa</t>
  </si>
  <si>
    <t>Des milliers de moutons australiens périssent en route vers le Moyen-Orient  .  Sur un cargo qui devait transporter des moutons vivants de l’Australie vers le Qatar, des</t>
  </si>
  <si>
    <t>La France fournit des armes aux Kurdes d’Irak  .  La France souhaite fournir aux Kurdes d’Irak des armes pour lutter contre le groupe terroriste État islamique</t>
  </si>
  <si>
    <t>Le rôle de la Russie dans le conflit libyen suscite des inquiétudes aux États-Unis quant aux négociations  .  La Libye est un mélange complexe de luttes politiques acharnées et de criminalité. « Comme dans la jungle</t>
  </si>
  <si>
    <t>: Steinmeier appelle la Russie à poursuivre les négociations sur le gaz avec l’Ukraine  .  En raison du conflit entre la Russie et l’Ukraine sur les livraisons, le ministre fédéral des Affaires étrangères Steinmeier considère que le gaz</t>
  </si>
  <si>
    <t>Des peines de prison pour les violeurs d’une Suissesse en Inde  .  Six hommes indiens qui, il y a quatre mois, ont violé et dépouillé une touriste suisse</t>
  </si>
  <si>
    <t xml:space="preserve">Au profit des Allemands : la Chine gagne, les États-Unis perdent  .  Aux yeux de nombreux citoyens allemands, la pandémie de coronavirus fait soudainement de la Chine un partenaire indispensable </t>
  </si>
  <si>
    <t>La Syrie demande à adhérer à la Convention sur les armes chimiques  .  Le ministre américain des Affaires étrangères Kerry et son homologue russe Lavrov souhaitent poursuivre leurs consultations sur la Syrie au sein du Conseil de sécurité</t>
  </si>
  <si>
    <t>Liste de l'UE pour les entrées sur le territoire : Cuba oui, les États-Unis non  .  L'Europe autorisera à nouveau les entrées en provenance de pays tiers à partir de juillet – si la situation sanitaire y est au moins</t>
  </si>
  <si>
    <t>Graphique du jour : les produits allemands sont d'une qualité exceptionnelle  .  Que ce soit en Corée, en Turquie ou en Arabie saoudite : les produits fabriqués en Allemagne jouissent d'une excellente réputation sur le marché</t>
  </si>
  <si>
    <t xml:space="preserve">Le sélectionneur national Löw : « Nous sommes sous observation »  .  0-0 contre la France, 2-1 contre le Pérou : le sélectionneur national Löw dresse le bilan global de la reprise après la Coupe du monde </t>
  </si>
  <si>
    <t>Crise des réfugiés : le gouvernement fédéral envoie des policiers en Slovénie  .  Les policiers fédéraux doivent aider en Grèce et en Slovénie à contrôler l’afflux de réfugiés</t>
  </si>
  <si>
    <t>Conflit entre les commissaires européens au sujet des pays en déficit  .  L’issue de la discussion sur l’Espagne et le Portugal reste incertaine. Il y a des partisans et des opposants à s</t>
  </si>
  <si>
    <t>États-Unis et Syrie : pas de changement de régime  .  Washington se prépare à des frappes aériennes limitées pour dissuader d’autres pays de suivre le mouvement. Une chute d’Assad</t>
  </si>
  <si>
    <t xml:space="preserve">Selon des informations russes : les États-Unis préparent une attaque contre la Syrie  .  Les États-Unis ont considérablement renforcé leur flotte en Méditerranée. C'est ce que rapportent les médias russes </t>
  </si>
  <si>
    <t>Durcissement de la procédure pour déficit excessif contre l'Espagne et le Portugal  .  La Commission européenne a désormais officiellement certifié que l'Espagne et le Portugal ne respectaient pas leurs objectifs budgétaires</t>
  </si>
  <si>
    <t>Les États-Unis étudient des « options militaires » en Libye  .  La Libye menace de sombrer dans le chaos, tandis que la milice terroriste de l'EI ne cesse de se renforcer. Les États-Unis envisagent désormais</t>
  </si>
  <si>
    <t>Guerre commerciale : Pompeo courtise l’Asie du Sud-Est et lance des piques à la Chine  .  La Chine pousserait les États dans le piège de la dette, tandis que les investissements américains ne conduiraient pas à la dépendance</t>
  </si>
  <si>
    <t>Fusion entre la Corée du Nord et la Corée du Sud : « C’est un événement majeur »  .  En réalité, les équipes de tennis de table de la Corée du Nord et de la Corée du Sud devaient s’affronter en quarts de finale lors des Championnats du monde en Suède</t>
  </si>
  <si>
    <t>Championnat d'Europe de football féminin : la Suède et l'Italie ont de bonnes chances en quarts de finale  .  La Suède, pays hôte, et l'Italie sont bien placées au Championnat d'Europe de football féminin</t>
  </si>
  <si>
    <t>Afghanistan : la Première dame reste la plupart du temps au palais  .  C'est une chrétienne originaire du Liban. Beaucoup n'apprécient pas cela chez l'épouse du président afghan</t>
  </si>
  <si>
    <t>Championnat du monde de handball au Japon : Les Allemandes battent les championnes olympiques en titre  .  Pour la première fois depuis 19 ans, les handballeuses remportent un match officiel contre le Danemark. Grâce à ce succès</t>
  </si>
  <si>
    <t>Conflit autour du mur frontalier : première plainte contre le décret d'urgence  .  Dans le conflit autour du possible mur frontalier américain avec le Mexique, la résistance contre le décret d'urgence de Donald Trump s'intensifie</t>
  </si>
  <si>
    <t>Tirs de roquettes depuis Israël : la Syrie signale une attaque contre l'aéroport de Damas  .  Un dépôt d'armes situé près de l'aéroport aurait été détruit lors de l'attaque, rapportent les opposants</t>
  </si>
  <si>
    <t>Route des réfugiés : le froid devant le goulot d'étranglement des Balkans  .  Depuis que la Hongrie a fermé ses frontières, le flux de réfugiés s'accumule entre la Slovénie et la Croatie</t>
  </si>
  <si>
    <t>Les États-Unis perdent la bataille de pouvoir contre la Chine  .  Les États-Unis ont tout mis en œuvre pour empêcher la Chine de concurrencer la Banque mondiale</t>
  </si>
  <si>
    <t>Rebelles houthis : des centaines de soldats saoudiens capturés  .  Selon leurs propres déclarations, les rebelles houthis soutenus par l’Iran au Yémen ont capturé des centaines de prisonniers</t>
  </si>
  <si>
    <t>Le prix Nobel de médecine décerné à des chercheurs en biologie cellulaire américains et britanniques  .  Les deux Américains William Kaelin et Gregg Semenza ainsi que le Britannique Peter Ratcliffe ont reçu le</t>
  </si>
  <si>
    <t>CHN</t>
  </si>
  <si>
    <t>KOR</t>
  </si>
  <si>
    <t>HRV</t>
  </si>
  <si>
    <t xml:space="preserve">Donald Trump's reckless far-right retweet sparks British, Dutch condemnation  .  Donald Trump's re-tweeting of a series of racist messages by the leader of the right-wing extremist </t>
  </si>
  <si>
    <t>GBR NLD</t>
  </si>
  <si>
    <t xml:space="preserve">Boris Johnson allows Huawei to build parts of UK's 5G network  .  The Prime Minister has set up a showdown with Washington and his own MPs in defying USA warnings and </t>
  </si>
  <si>
    <t>More than 60 killed in bloody day of Taliban attacks in Afghanistan and Pakistan  .  Suicide attackers from two separate branches of the Taliban killed at least 26 people in the Pakista</t>
  </si>
  <si>
    <t xml:space="preserve">French commandos free Dutch hostage Sjaak Rijke from al-Qaeda in Mali  .  Paris: French commandos freed a Dutch hostage from an al-Qaeda-linked group in Mali on Monday, more </t>
  </si>
  <si>
    <t>NLD MLI</t>
  </si>
  <si>
    <t>Oil prices tank as Greece, China concerns trigger selloff  .  ​Oil prices suffered their biggest selloff in five months on Monday, falling as much as 8 per cent a</t>
  </si>
  <si>
    <t>GRC CHN</t>
  </si>
  <si>
    <t>Secret talks to recover bodies, secure site  .  Ukraine holds secret video-conferences with rebels and calls for international pressure on Russia.</t>
  </si>
  <si>
    <t xml:space="preserve">Play resumes in Test match at Dunedin after ground evacuated  .  Play in the first Test between New Zealand and South Africa resumed on Friday after a fire alarm in </t>
  </si>
  <si>
    <t>NZL ZAF</t>
  </si>
  <si>
    <t>USA military begins bolstering troop numbers in Syrian oil field region, defence officials say  .  The USA military has begun bolstering its troop numbers in a part of eastern Syria where President Do</t>
  </si>
  <si>
    <t>Deciphering Putin's plan in Ukraine  .  With strategic ambitions for beyond Ukraine, Putin is bent on restoring Russia to its former glory.&amp;</t>
  </si>
  <si>
    <t>We must not let China use COVID as cover for a Hong Kong power grab  .  The current power play by China - while the world's attention is elsewhere - drives a cart and horse</t>
  </si>
  <si>
    <t xml:space="preserve">'No thoughts': Donald Trump's surprising view on the UK election  .  Trump insisted the USA would want nothing to do with Britain's NHS, even if it were handed to him on </t>
  </si>
  <si>
    <t>'Go to hell' Philippine leader Rodrigo Duterte tells Barack Obama  .  In his latest salvo, Duterte said he was realigning his foreign policy because the United States had</t>
  </si>
  <si>
    <t>PHL USA</t>
  </si>
  <si>
    <t>Shrien Dewani back in UK after acquittal of murder in South Africa  .  British businessman Shrien Dewani has arrived back home after being cleared by a South African court</t>
  </si>
  <si>
    <t>GBR ZAF</t>
  </si>
  <si>
    <t xml:space="preserve">Indonesia arrests six heading to Syria  .  Indonesian police have arrested six people attempting to fly to Syria to join the so-called Islamic </t>
  </si>
  <si>
    <t>IDN SYR</t>
  </si>
  <si>
    <t>NZ crush Pakistan by seven wickets  .  New Zealand barely break a sweat in seeing off a rusty Pakistan by seven wickets in the first ODI at</t>
  </si>
  <si>
    <t>NZL PAK</t>
  </si>
  <si>
    <t>ANZ, Macquarie join push to have Singapore rate rigging case in USA dropped  .  A cabal of international banks including ANZ Bank and Macquarie have applied to dismiss a class acti</t>
  </si>
  <si>
    <t>Indonesia rebukes China's latest South China Sea claim  .  The diplomatic dispute comes after a Chinese coastguard vessel entered Indonesia's territorial water</t>
  </si>
  <si>
    <t>New Zealand survive England test  .  Australia need only beat Samoa  to set up a rematch of last year’s World Cup final against New Zeala</t>
  </si>
  <si>
    <t>NZL WSM</t>
  </si>
  <si>
    <t>Highway collapses as floods pound Italy and France  .  A 30-metre section of highway along a viaduct near the flooded Italian coastal city of Savona collap</t>
  </si>
  <si>
    <t>ITA FRA</t>
  </si>
  <si>
    <t>Rwanda opposition urges South Africa to protect dissidents  .  The killing of a former spy chief in Johannesburg has shocked critics of Rwanda's government.    </t>
  </si>
  <si>
    <t>RWA ZAF</t>
  </si>
  <si>
    <t>Anti-Chinese rioters on rampage in Vietnam  .  Tensions from clashes in the South China Sea erupt in the most serious outbreak of public disorder i</t>
  </si>
  <si>
    <t>Kim Jong-nam murder: North Korea says Malaysia is to blame for death of its citizen  .  North Korea said on Thursday Malaysia is to blame for the death of its citizen there last week and a</t>
  </si>
  <si>
    <t>PRK MYS</t>
  </si>
  <si>
    <t>Australian man accused of rampage on China flight faces Canadian court  .  An Australian passenger accused of going on a violent rampage on a flight from China to Canada has b</t>
  </si>
  <si>
    <t>Injury hampers Andreescu's Australian Open preparations  .  USA Open champion Bianca Andreescu has withdrawn from an Australian Open warm-up event in New Zealand</t>
  </si>
  <si>
    <t>South Korea military holds missile drills in response to North Korea hydrogen bomb  .  South Korea's military says its air forces and the army have carried out a missile drill in response</t>
  </si>
  <si>
    <t>'Appalling': record 12,000 children killed and hurt in wars last year  .  And that doesn't include conflicts in Cameroon and Ukraine which are "conspicuously missing" from th</t>
  </si>
  <si>
    <t>CMR UKR</t>
  </si>
  <si>
    <t>Vic waitress in detention in Mexico  .  A Melbourne waitress is being held in a Mexican detention cell after travelling from the USA on foot.</t>
  </si>
  <si>
    <t>Canberra Stadium pitch the best in the Asian Cup ahead of Iran v Iraq quarter-final  .  The Canberra Stadium playing surface has been transformed from a laughing stock to the best in the c</t>
  </si>
  <si>
    <t>IRN IRQ</t>
  </si>
  <si>
    <t>Iran's Supreme Leader warns of repercussions for Saudi cleric's death  .  Iran's Supreme Leader Ayatollah Ali Khamenei warned of repercussions after Saudi Arabia executed a p</t>
  </si>
  <si>
    <t>USA strikes on pro-Syria government forces  .  The US-led coalition battling Islamic State has waged a fresh strike against forces supporting the S</t>
  </si>
  <si>
    <t>Deposed Catalan president suspected to have fled to Belgium  .  Carles Puigdemont, the ousted president of Catalonia who defied the Spanish state by declaring his r</t>
  </si>
  <si>
    <t>BEL ESP</t>
  </si>
  <si>
    <t xml:space="preserve">Huawei exec mocks USA spying allegations at MWC tech show  .  Chairman Guo Ping restates that Huawei will not be compelled by the Chinese government to spy using </t>
  </si>
  <si>
    <t>FIFA World Cup final: France v Croatia live scores, results, highlights  .  After more than a month of football, today's the day - France take on Croatia to see who will be cro</t>
  </si>
  <si>
    <t>Russia vows to send another aid convoy as Ukraine claims tanks crossed border  .  Kiev charges that Russian tanks crossed the border aiming to open a new front in the war, while Mosc</t>
  </si>
  <si>
    <t>New terror threat in Indonesia, says USA  .  Australians have been told to exercise a high degree of caution if they intend travelling to Indones</t>
  </si>
  <si>
    <t>IDN USA</t>
  </si>
  <si>
    <t>Syrian army advances as Russia, allies position for USA pullout  .  Syrian government forces rolled into a key region held by US-backed Kurds as Moscow and its allies m</t>
  </si>
  <si>
    <t>need2know: Local shares poised to fall  .  Local shares are poised to open lower as the presumed shooting down on a Malaysia Airlines jet in Uk</t>
  </si>
  <si>
    <t>MYS GBR</t>
  </si>
  <si>
    <t xml:space="preserve">Coronavirus: UK COVID-19 deaths overtake Italy, Europe's highest official death toll exceeded  .  </t>
  </si>
  <si>
    <t>GBR ITA</t>
  </si>
  <si>
    <t>British Prime Minister David Cameron urges Saudi Arabia not to crucify protester  .  David Cameron told Britain's Middle Eastern ally not to behead and crucify the activist.</t>
  </si>
  <si>
    <t>'Smile and nod': Latin American leaders brace for tense Trump visit  .  USA President is due in Peru on Friday as a survey finds the great majority of Latin Americans disapp</t>
  </si>
  <si>
    <t>USA PER</t>
  </si>
  <si>
    <t>Ireland set out stall with pre-Cricket World Cup upset of Bangladesh  .  Ireland set out their stall as potential World Cup giant-killers by beating Bangladesh by four wicke</t>
  </si>
  <si>
    <t>IRL BGD</t>
  </si>
  <si>
    <t>Belgium attack suspect 'went to Syria'  .  Prosecutors say a suspect arrested over the Belgian Jewish museum attack had an automatic weapon and</t>
  </si>
  <si>
    <t>BEL SYR</t>
  </si>
  <si>
    <t>Harrison reaches 1500m final in Spain  .  Jordan Harrison has qualified for the 1500m freestyle final at the world championships in Barcelona.</t>
  </si>
  <si>
    <t>ESP JOR</t>
  </si>
  <si>
    <t>Bulls in a China shop: How Beijing cultivated Wall Street's giants  .  The titans of USA finance have for decades been guiding the nation’s China policy. But then USA manufa</t>
  </si>
  <si>
    <t>Putin, Obama fail to heal rift over Syria  .  Russian President Vladimir Putin says he has held talks on Syria with USA President Barack Obama on t</t>
  </si>
  <si>
    <t>Vladimir Putin meets Rex Tillerson in Russia after keeping him waiting  .  Relations between the USA and Russia have grown so tense that it was unclear whether Mr Putin would a</t>
  </si>
  <si>
    <t>Syria plan is 'madness' and won't work: former Bush adviser  .  The USA and Australia's policy of fighting the Islamic State terror group without having a plan to di</t>
  </si>
  <si>
    <t>British tourist family knocked out cold in Thailand attack: video goes viral  .  A British tourist out celebrating his elderly father's birthday accidently bumped into a Thai man am</t>
  </si>
  <si>
    <t>GBR THA</t>
  </si>
  <si>
    <t>Trump's Venezuela plan calls for rivals to stand down, new elections  .  The USA has openly said President Nicholas Maduro will never be allowed to govern again.</t>
  </si>
  <si>
    <t>Watch Hong Kong and ask: Will we be China's partner or servant?  .  The Nationals MP writes that the democracy protests in Hong Kong raise long-term questions for Austr</t>
  </si>
  <si>
    <t>USA says it killed two terrorists in southern Libya air strike  .  USA forces have killed "two terrorists" in an air strike in south-western Libya as part of efforts to</t>
  </si>
  <si>
    <t>Thousands presumed dead after floods in India, China  .  More than 6000 people are dead or missing after a month of torrential rain.    </t>
  </si>
  <si>
    <t>Thousands of chanting protesters call on Trump to 'liberate Hong Kong'  .  Flag-waving demonstrators march to USA consulate and ask President Donald Trump to 'fight for freedom</t>
  </si>
  <si>
    <t>HKG USA</t>
  </si>
  <si>
    <t>China calls for harsher sentence on Canadian as relations sour  .  Ties between Ottawa and Beijing have deteriorated after Canada arrested Meng Wanzhou, the CFO of Hua</t>
  </si>
  <si>
    <t>Branden Grace lands eagle, wins Qatar Masters  .  South Africa's Branden Grace produced a late surge to win the Qatar Masters by one shot from Scotlan</t>
  </si>
  <si>
    <t>QAT ZAF</t>
  </si>
  <si>
    <t>USA present case for action in Syria  .  Obama makes case for Syria strike amid “clear” evidence of poison gas use    </t>
  </si>
  <si>
    <t xml:space="preserve">Obama declares USA will retaliate against North Korea for hacking attack on Sony  .  President Barack Obama has declared the United States will retaliate for the hacking attack on Sony </t>
  </si>
  <si>
    <t>G20: Donald Trump's withdrawal an opportunity for Australia  .  With the focus on the power struggle between the US, Russia and China, Prime Minister Malcolm Turnbu</t>
  </si>
  <si>
    <t xml:space="preserve">USA forces nab militant in Libyan capital  .  A Pentagon spokesman says Anas al-Libi has been detained by the USA military and taken out of Libya, </t>
  </si>
  <si>
    <t>Markets Live: Syria action closer  .  Australian shares are weaker as a USA Congressional nod to a military strike on Syria overwhelms news</t>
  </si>
  <si>
    <t>Russia threatens to expel 30 USA diplomats  .  Russia will expel 30 USA diplomats and seize diplomatic property if Donald Trump does not release two</t>
  </si>
  <si>
    <t>Turnbull comments show Australia a 'second class citizen' says Chinese newspaper  .  Beijing: Prime Minister Malcolm Turnbull's call for China to cut off its oil pipeline to North Korea</t>
  </si>
  <si>
    <t>Nerve gas sarin used in Syria attack, says USA as Obama seeks approval for military strike  .  Hair and blood samples from Syria tested positive for the nerve agent sarin, USA Secretary of State J</t>
  </si>
  <si>
    <t>Donald Trump cites Russian meddling in USA election, but blames others too  .  USA President Donald Trump said he believes Russia meddled in the 2016 election but maintained that t</t>
  </si>
  <si>
    <t>Netball World Cup: NZ Silver Ferns survive scare from Malawi  .  This was not in the script. New Zealand had already beaten top seeds Australia, convincingly, and an</t>
  </si>
  <si>
    <t>NZL MWI</t>
  </si>
  <si>
    <t>Israel marks opening of USA embassy in Jerusalem amid ongoing protests  .  Israel has started celebrating the opening of the USA embassy in Jerusalem, a move that has ignited P</t>
  </si>
  <si>
    <t>Britain gives go ahead for Chinese stake in Hinkley Point nuclear power plant  .  Britain gives go-ahead to Hinkley nuclear plant but industry questions the eventual energy costs</t>
  </si>
  <si>
    <t>Solomons tsunami won't reach NZ: officials  .  New Zealand won't be affected by any tsunami generated by the Solomon Islands earthquake but coastal</t>
  </si>
  <si>
    <t>NZL SLB</t>
  </si>
  <si>
    <t>British MPs call for Australia-style Huawei ban for NATO, Five Eyes countries  .  British leader Boris Johnson faces a rebellion within his own party after the Chinese telco was allo</t>
  </si>
  <si>
    <t>Gambia coup plotters: USA citizens charged  .  In a plot worthy of Graham Greene, two USA citizens have been charged with orchestrating a coup in th</t>
  </si>
  <si>
    <t>GMB USA</t>
  </si>
  <si>
    <t>Pakistan's Mohammad Amir, convicted cricket spot-fixer, named for New Zealand tour  .  Fast bowler Mohammad Amir was named in the Pakistan squads on Friday for the limited over New Zealan</t>
  </si>
  <si>
    <t>PAK NZL</t>
  </si>
  <si>
    <t>Turkey, Iraq agree cooperation deal as battle for Mosul intensifies  .  Turkey and Iraq have reached an agreement in principle that could eventually allow a Turkish role in</t>
  </si>
  <si>
    <t xml:space="preserve">Donald Trump says North Korea 'no longer' a nuclear threat  .  The USA President has used his favourite platform, Twitter, to offer a rosy assessment of his summit </t>
  </si>
  <si>
    <t>Donald Trump grants temporary extension on steel tariffs for Australia  .  President Donald Trump has reached an agreement in principle with Argentina, Australia and Brazil, a</t>
  </si>
  <si>
    <t>USA stocks on upswing after Japan's surprise rate cut  .  The upswing Friday followed a surprise monetary stimulus measure from the Bank of Japan.</t>
  </si>
  <si>
    <t>Magnitude 6.5 quake hits off Philippines  .  A magnitude 6.5 earthquake has struck off the Philippine's Mindanao island, the USA Geological Survey</t>
  </si>
  <si>
    <t>China's Greenland Group committed to Queensland despite casino knockback  .  Chinese property giant Greenland Group says it will keep bidding for major Queensland construction p</t>
  </si>
  <si>
    <t>CHN GRL</t>
  </si>
  <si>
    <t>'Not China First': China says sour grapes won't stop Belt and Road  .  China says 37 world leaders or heads of government will attend new forum, the USA not among them.</t>
  </si>
  <si>
    <t>Coronavirus cases near 7 million amid surges in Brazil, India  .  Brazil has stopped publishing a running total of coronavirus deaths and infections in an extraordina</t>
  </si>
  <si>
    <t>BRA IND</t>
  </si>
  <si>
    <t xml:space="preserve">Lynas half-year profit plunges on Malaysia expenses amid weak market  .  Lynas, the largest rare earths producer in the world outside China, on Friday reported profit after </t>
  </si>
  <si>
    <t>Formula One grand prix: Ricciardo cops pre-race sledge from Verstappen in Japan  .  Still buzzing from his Malaysia win, the Australian gets a playful reminder from his teammate of his</t>
  </si>
  <si>
    <t>JPN MYS</t>
  </si>
  <si>
    <t>France to send weapons to Iraq  .  French President Francois Hollande says France will supply arms to Iraq's Kurds.</t>
  </si>
  <si>
    <t>As Thai manager apologises for historic loss, USA defend celebrations  .  The fallout from women's football giant the United States' 13-0 World Cup annihilation of Thailand i</t>
  </si>
  <si>
    <t>Trump OKs wider Syria oil mission, raising legal questions  .  The strategy shift raises a number of difficult legal questions about whether USA troops can launch s</t>
  </si>
  <si>
    <t>Canada demands China release detained citizens for the first time  .  Canada made its first demand for China to release two Canadians who have been detained in retaliatio</t>
  </si>
  <si>
    <t>South Africa batter France in demonstration of Springbok revival  .  Eben Etzebeth has scored a try epitomising the revival of South Africa following their disastrous 20</t>
  </si>
  <si>
    <t>ZAF FRA</t>
  </si>
  <si>
    <t>Trump's Huawei ban could spell big trouble for Australia  .  The decision to stop USA companies supplying China's Huawei could be a negotiating tactic, or it coul</t>
  </si>
  <si>
    <t>Trump warns Iran as Democrats demand answers on Soleimani killing  .  Although the USA President insisted he took the action to avoid a war, the continuing threats further</t>
  </si>
  <si>
    <t>USA allies, adversaries urge caution on North Korea  .  World leaders expressed alarm Friday at the bellicose language emanating from North Korea and the Un</t>
  </si>
  <si>
    <t>Australian detained in Lebanon, suspected of trying to join Islamic State in Syria  .  An Australian teenager, suspected of trying to travel to Syria to fight for IS, has been arrested in</t>
  </si>
  <si>
    <t>The Russian science keeping North Korea's dead leaders looking fresh  .  The Soviet Union may have collapsed, and socialism in both Vietnam and North Korea has taken on form</t>
  </si>
  <si>
    <t>PRK VNM</t>
  </si>
  <si>
    <t>Obama struggles to hold the centre in Iraq and Syria maelstrom  .  Anyone following the Obama administration&amp;#8217;s response to the threat posed by Islamic State this</t>
  </si>
  <si>
    <t>Glencore said to face British bribery probe over Congo dealings  .  An investigation by Britain's Serious Fraud Office would add to a growing list of legal challenges f</t>
  </si>
  <si>
    <t xml:space="preserve">Malaysia Airline flight MH17: Australian government experts received secret draft of crash report  .  A top secret draft of the official report into the cause of the crash of flight MH17 in Ukraine was </t>
  </si>
  <si>
    <t>China building in Vanuatu  .  China is growing its influence in the tiny pacific nation of Vanuatu.</t>
  </si>
  <si>
    <t>CHN VUT</t>
  </si>
  <si>
    <t>Gaza crisis: How Israel's missle interception system works  .  Shaped like two giant match boxes tilted diagonally towards Gaza, the system comes to life as the wa</t>
  </si>
  <si>
    <t>USA takes aim at Putin's elite allies in Russia with new sanctions  .  The target list includes some who are closely tied to Putin himself, including top-tier officials in</t>
  </si>
  <si>
    <t>USA airlines' rights to fly over Russia expire  .  USA officials are so far declining to link Russia's decision to cancel talks with tensions over US-le</t>
  </si>
  <si>
    <t>Top 10 again for Scott, Day at USA Open  .  Australians Jason Day and Adam Scott both collected yet another top 10 finish in a major as Germany'</t>
  </si>
  <si>
    <t>North Korea missile launch put 'millions of Japanese into duck and cover'  .  North Korea has launched another missile, sending Japanese citizens to shelters briefly and promptin</t>
  </si>
  <si>
    <t>JOR</t>
  </si>
  <si>
    <t>GRL</t>
  </si>
  <si>
    <t>AUS_sydmor</t>
  </si>
  <si>
    <t>CHN_mopost</t>
  </si>
  <si>
    <t>GBR_indept</t>
  </si>
  <si>
    <t>ISR_jerpos</t>
  </si>
  <si>
    <t>KEN_standa</t>
  </si>
  <si>
    <t>NGA_vangua</t>
  </si>
  <si>
    <t>PAK_thenew</t>
  </si>
  <si>
    <t>SGP_today</t>
  </si>
  <si>
    <t>USA_nytime</t>
  </si>
  <si>
    <t>ZAF_time</t>
  </si>
  <si>
    <t>Japan protests ‘regrettable’ South Korean plan to a conduct military drill near disputed isles  .  Japan has lodged a protest with South Korea over its plan to conduct a military drill around the Seo</t>
  </si>
  <si>
    <t>USA returning pillaged Philippine church bells, 117 years after they were stolen  .  The bells tolled on September 28, 1901, to signal an early-morning attack on American troops, just a</t>
  </si>
  <si>
    <t>USA PHL</t>
  </si>
  <si>
    <t>Nigel Farage: ‘Far-right victory in France would doom the EU’  .  Nigel Farage is revelling in his successful campaign to take Britain out of the EU, buddying up to D</t>
  </si>
  <si>
    <t>Groundbreaking Lebanese-born porn star prompts mix of admiration and scorn  .                      A Lebanese-born porn star living in the USA has stirred fierce debate back home</t>
  </si>
  <si>
    <t>LBN USA</t>
  </si>
  <si>
    <t>Saudi Arabia goes on PR offensive in war against Shiite militia in Yemen  .                      The lights fade and rapid-fire images flash across a large screen to the sound</t>
  </si>
  <si>
    <t>Tokyo eases sanctions as North Korea agrees to probe cases of abducted Japanese  .                      Japan said yesterday it would ease sanctions against North Korea after the sec</t>
  </si>
  <si>
    <t xml:space="preserve">Grave concern: British anti-doping agency probing claims four athletes doped in Kenya  .    The UK anti-doping agency has sent investigators to Kenya to probe allegations that four British </t>
  </si>
  <si>
    <t>GBR KEN</t>
  </si>
  <si>
    <t>Taiwan ally Nauru’s snub to Beijing threatened to derail Pacific summit  .  A visa row between China and host nation Nauru almost derailed the Pacific&amp;rsquo;s largest annual di</t>
  </si>
  <si>
    <t>TWN NRU</t>
  </si>
  <si>
    <t>Ton-up Mathews foils Pakistan  .                      Sri Lankan captain Angelo Mathews hit a pugnacious hundred to pull Sri Lanka o</t>
  </si>
  <si>
    <t>USA envoy Elliott Abrams had secret meetings with Venezuela diplomat, says President Maduro  .  A month into Venezuela&amp;rsquo;s latest political crisis, President Nicolas Maduro said his government</t>
  </si>
  <si>
    <t xml:space="preserve">Why are China and India so interested in the Maldives?  .  The Maldives, long a popular tourist destination, has grown in strategic importance in recent years </t>
  </si>
  <si>
    <t>IND MDV</t>
  </si>
  <si>
    <t>India mining firm Adani awarded Australia leases amid protests by environmentalists  .    A controversial India-backed giant coal project near Australia’s Great Barrier Reef was on Sunday</t>
  </si>
  <si>
    <t>IND AUS</t>
  </si>
  <si>
    <t>Macau will be a winner for years, USA casino billionaire Steve Wynn wagers  .                      Casino billionaire Steve Wynn has dismissed fears that Macau's gaming industry</t>
  </si>
  <si>
    <t>MAC USA</t>
  </si>
  <si>
    <t>Vietnam and America: foes on paper, friends out of necessity  .  &amp;#x201C;Almost the single worst abuser of everybody.&amp;#x201D;This was how USA President Donald Trump d</t>
  </si>
  <si>
    <t>VNM USA</t>
  </si>
  <si>
    <t>Vietnamese oil tanker Sunrise 689 disappears on voyage from Singapore  .                      A Vietnamese tanker carrying diesel has lost contact with its operator and may</t>
  </si>
  <si>
    <t>VNM SGP</t>
  </si>
  <si>
    <t>Nato says Russia sending columns of troops and weapons into Ukraine  .                      Nato has accused Russia of sending troops and weapons into eastern Ukraine, as</t>
  </si>
  <si>
    <t>Fourth body found after Thailand speedboat accident  .    The body of a British man missing for four days after a tourist speedboat crashed in southern Tha</t>
  </si>
  <si>
    <t>USA and&amp;#xA0;Poland sign 5G security agreement as part of effort to block Chinese telecoms giant Huawei from European networks  .  The USA and Poland agreed Monday to a deal designed to secure 5G wireless networks in the European co</t>
  </si>
  <si>
    <t>The USA weapons Taiwan wants to bolster its defences  .  A senior official Pentagon official&amp;rsquo;s comments last week that the United States is moving towa</t>
  </si>
  <si>
    <t>USA TWN</t>
  </si>
  <si>
    <t>Ukraine pushes closer ties at Nato summit despite warning from Russia  .                      Undeterred by threats from Russia that Kiev's Nato ambitions would derail peac</t>
  </si>
  <si>
    <t>Taiwan police arrest owner of USA 3D-printed gun company accused of sex with minor  .  Authorities in Taiwan have arrested the owner of a Texas company that sells plans to make untraceabl</t>
  </si>
  <si>
    <t>TWN USA</t>
  </si>
  <si>
    <t>Zimbabwe's president: I'm no British clone  .                      HARARE, Zimbabwe (AP) — Zimbabwe's longtime President Robert Mugabe says he do</t>
  </si>
  <si>
    <t>ZWE GBR</t>
  </si>
  <si>
    <t>Angela Merkel gives Russia sanctions ultimatum over Ukraine  .                      German Chancellor Angela Merkel said yesterday Europe would impose tougher san</t>
  </si>
  <si>
    <t>New Zealand’s Blackcaps to begin India cricket tour with Kanpur test  .    New Zealand will begin their five-week tour of India with the opening test of the three-match ser</t>
  </si>
  <si>
    <t>NZL IND</t>
  </si>
  <si>
    <t>Russia accuses Nato of interference in Ukraine over call for dialogue  .                      Russian Foreign Minister Sergei Lavrov yesterday accused Nato of interfering i</t>
  </si>
  <si>
    <t>Turkey concludes Saudi journalist Jamal Khashoggi killed by ‘murder’ team sent by kingdom, sources say  .  Turkey has concluded that Jamal Khashoggi, a prominent journalist from Saudi Arabia, was killed in t</t>
  </si>
  <si>
    <t>Rohingya abuses in Myanmar appear ‘normal and allowed’ USA official says  .  Abuses appear &amp;ldquo;normal and allowed&amp;rdquo; in Myanmar&amp;rsquo;s response to an armed uprising by R</t>
  </si>
  <si>
    <t>MMR USA</t>
  </si>
  <si>
    <t>Paul Pogba pokes France past Australia as late winner follows Antoine Griezmann’s historic VAR penalty kick in Kazan  .  France launched their World Cup 2018 campaign with victory against Australia on Saturday as the Vide</t>
  </si>
  <si>
    <t>Palestinian family of five, including toddlers, killed in Israel's 'deadliest air strike'  .                      Israeli warplanes pounded Gaza on Saturday, killing five Palestinians from the</t>
  </si>
  <si>
    <t xml:space="preserve">UN resolution calls for North Korea human rights probe  .                      The European Union and Japan have brushed aside warnings from North Korea and </t>
  </si>
  <si>
    <t>USA man extradited for 1997 murder of South Korean student in case that inspired a movie  .    An American charged with murdering a Seoul university student in 1997 has been extradited to Sout</t>
  </si>
  <si>
    <t xml:space="preserve">Japan fears it has lost two-decade arms race with North Korea following latest advances in missile technology  .  Successful rocket tests have propelled North Korea ahead in a two-decade long arms race with Japan, </t>
  </si>
  <si>
    <t>Russian jets mistakenly bomb Pentagon-backed forces in Syria, USA general claims  .  Russian warplanes bombed US-backed fighters in several small villages in northern Syria after they m</t>
  </si>
  <si>
    <t>Asia in 3 minutes: Tycoon runs afoul of law in Thailand; new law protects king of Cambodia from slander  .  The &amp;lsquo;proof&amp;rsquo; is in the Poo: Thai building tycoon pinched for animal poachingThai officia</t>
  </si>
  <si>
    <t>THA KHM</t>
  </si>
  <si>
    <t>Will China and Russia support oil sanctions on North Korea? Experts are sceptical  .  By Huileng TanThe United Nations Security Council is meeting later on Monday to vote on new sancti</t>
  </si>
  <si>
    <t>Retired USA Navy officer pleads guilty to arranging bribes for Singapore supplier  .                      A retired USA Navy officer has pleaded guilty to federal charges of arranging k</t>
  </si>
  <si>
    <t>Russia's Vladimir Putin orders troops to withdraw from Ukraine border  .                      Russian President Vladimir Putin has ordered thousands of troops to withdraw f</t>
  </si>
  <si>
    <t>What really crippled USA diplomas in Cuba? Rex Tillerson orders new investigation to find out  .  USA investigators are looking at a range of theories, including the possibility of a &amp;ldquo;viral&amp;rdq</t>
  </si>
  <si>
    <t xml:space="preserve">Ukraine prepares to vote in election hoped to end conflict with Russia  .                      Candidates in Ukraine’s presidential election stayed out of the public eye on </t>
  </si>
  <si>
    <t>Japan cancels deportation of Taiwanese man in same-sex relationship  .  Japan has shelved plans to deport a gay Taiwanese man in a long-term relationship, his lawyers said,</t>
  </si>
  <si>
    <t>JPN TWN</t>
  </si>
  <si>
    <t>Tokyo 2020 fails to stop killing of rainforests, groups say, with equivalent of 10,000 logs cut down in Indonesia and Malaysia  .  Seven conservation groups have accused Tokyo Olympics organisers of failing to halt the import of wo</t>
  </si>
  <si>
    <t>IDN MYS</t>
  </si>
  <si>
    <t xml:space="preserve">Gay couple sue officials for refusing to recognise their same-sex marriage in South Korea  .    Buoyed by a landmark USA Supreme Court ruling, a prominent South Korean gay rights campaigner and </t>
  </si>
  <si>
    <t xml:space="preserve">Two USA warships in South China Sea during China-Malaysia stand-off  .  Two USA warships are operating in the South China Sea, the Navy said on Tuesday, with three regional </t>
  </si>
  <si>
    <t>USA MYS</t>
  </si>
  <si>
    <t>Has Rugby Australia contradicted itself in the Israel Folau ruling? A look into its now infamous &amp;#x2018;Inclusion Policy&amp;#x2019;  .  As new revelations spill out in the Israel Folau debacle with Rugby Australia &amp;#x2013; apparently th</t>
  </si>
  <si>
    <t>What now for Duterte’s China pivot as Marawi cements USA importance for Philippines?  .  What a difference a few months make.It was only October when Rodrigo Duterte announced his &amp;ldquo;s</t>
  </si>
  <si>
    <t>Putin says Russia will not be cut off by 'Iron Curtain' amid West's sanctions over Ukraine  .                      President Vladimir Putin blamed the West for worsening relations with Russia s</t>
  </si>
  <si>
    <t>Boris Johnson could recall parliament if USA preme Court decides he unlawfully suspended it as part of Brexit plan  .  Boris Johnson could recall parliament if Britain&amp;#x2019;s highest court rules he unlawfully suspende</t>
  </si>
  <si>
    <t>Swashbuckling Kohli steers India into Twenty20 final  .                      Virat Kohli hit a superb unbeaten 72 as India beat South Africa by six wickets</t>
  </si>
  <si>
    <t>IND ZAF</t>
  </si>
  <si>
    <t xml:space="preserve">Australia's PNG refugee solution 'already working'  .                      Australia's new policy of resettling refugees in Papua New Guinea was already </t>
  </si>
  <si>
    <t>AUS PNG</t>
  </si>
  <si>
    <t>South Korean workers at USA military bases to go back to work after temporary funding deal reached  .  Thousands of South Koreans working at USA military bases in the country, furloughed in a row over fun</t>
  </si>
  <si>
    <t xml:space="preserve">French President Hollande: Will wait for USA Congress decision on military action in Syria  .                      PARIS (AP) — French President Hollande: Will wait for USA Congress decision on </t>
  </si>
  <si>
    <t>‘Bunch of cowards’: outspoken goalkeeper Hope Solo blasts Sweden after USA bow out in Rio  .    Outspoken USA women’s goalkeeper Hope Solo labelled Sweden “cowards” after the world champions’ b</t>
  </si>
  <si>
    <t>Wall Street punches higher on strong USA retail sales, optimism on Greece  .    Global equity markets rose on Thursday on optimism over still testy Greek debt talks and on stron</t>
  </si>
  <si>
    <t xml:space="preserve">USA Marine jailed in Philippines for killing transgender woman  .    Philippine court on Tuesday found a USA Marine guilty of killing a transgender woman, jailing him </t>
  </si>
  <si>
    <t>Asian Cup: Big stage no problem for championship debutants Yemen, says coach  .  Yemen will be making their Asian Cup debut when they face three-time champions Iran on Monday and wh</t>
  </si>
  <si>
    <t>Israel attacks dozens of Iranian targets in Syria, after rocket attack blamed on Tehran  .  Israel has attacked dozens of Iranian targets in Syria in response to a rocket salvo against its arm</t>
  </si>
  <si>
    <t>Japan has replaced a consul general in South Korea after an unusually short stint  .  Japan&amp;rsquo;s consul general in Busan, who had been temporarily pulled from South Korea by the gover</t>
  </si>
  <si>
    <t>For penny-pinching, Bangladesh still reigns supreme  .                      With knitwear exports of over US$2 billion (HK$15.5 billion) a year, India’s g</t>
  </si>
  <si>
    <t>BGD IND</t>
  </si>
  <si>
    <t>USA airlines are complying with Beijing’s demand to stop mentioning ‘Taiwan’ in flight schedules  .  Major USA airlines appear to be complying with China&amp;rsquo;s demand that they stop referring to Taiwa</t>
  </si>
  <si>
    <t>Is Washington preparing to play the Taiwan card with Beijing again?  .  USA President Donald Trump may be preparing to use Taiwan as a bargaining chip in Sino-USA ties with t</t>
  </si>
  <si>
    <t>Nico Rosberg sets up last-day title showdown with Lewis Hamilton after Brazil win  .                      Germany’s Nico Rosberg won the Brazilian Grand Prix on Sunday to end team mate</t>
  </si>
  <si>
    <t>Switzerland blocks deal to sell ski lifts to North Korea  .                      Switzerland says it has blocked a deal to sell top-notch ski lifts to North Ko</t>
  </si>
  <si>
    <t>CHE PRK</t>
  </si>
  <si>
    <t>British, Australian, Italian and USA governments tell citizens to take care  .                      Foreign governments yesterday warned their citizens in Hong Kong to be cautiou</t>
  </si>
  <si>
    <t>Shiraz, Syrah &amp;#x2013; did the famous red wine grape originate in ancient Persia or medieval France?  .  A long-held legend has it that the Shiraz grape comes from the city called Shiraz in Iran. Shiraz wa</t>
  </si>
  <si>
    <t>FRA IRN</t>
  </si>
  <si>
    <t>US, Iran clash over Tehran’s testing of limits in nuclear deal  .  The United States and Iran on Thursday clashed openly at the UN atomic watchdog for the first time s</t>
  </si>
  <si>
    <t>9 Japanese firms fined US$740 million for fixing prices of parts sold to USA carmakers  .                      Nine companies based in Japan and two executives have agreed to plead guilty a</t>
  </si>
  <si>
    <t>Afghan Taliban attacks USA base near Pakistan border  .                      Taliban suicide bombers and gunmen dressed as Afghan police attacked a USA base</t>
  </si>
  <si>
    <t>Coronavirus: Thai king remains in Germany during pandemic, prompting criticism online  .  The coronavirus pandemic led to a rare surge of online posts in Thailand questioning the monarchy on</t>
  </si>
  <si>
    <t>THA DEU</t>
  </si>
  <si>
    <t>Japanese defence chief outlines new responsibilities for troops sent to South Sudan  .  Japanese Defence Minister Tomomi Inada on Saturday emphasised the importance of new responsibilities</t>
  </si>
  <si>
    <t>JPN SSD</t>
  </si>
  <si>
    <t>Japan recalls its ambassador to South Korea over new ‘comfort women’ statue  .  Japan has decided to temporarily recall its ambassador to South Korea, Yasumasa Nagamine, in respons</t>
  </si>
  <si>
    <t>USA naval forces 'repositioned' amid calls for strike against Syria  .                      The United States is repositioning naval forces in the Mediterranean and is re</t>
  </si>
  <si>
    <t>USA Special Forces soldiers killed in Jordan were working for CIA  .  The three Army Special Forces soldiers killed at a Jordanian military base on November 4 were workin</t>
  </si>
  <si>
    <t>USA JOR</t>
  </si>
  <si>
    <t>Turkey&amp;#x2019;s Erdogan rebukes Nato allies, vows to continue assault in Syria &amp;#x2018;until last breath&amp;#x2019;  .  Turkey&amp;#x2019;s president on Wednesday lashed out at his Nato allies and vowed to step up the offens</t>
  </si>
  <si>
    <t>Raul Castro thanks Pope Francis for aiding US-Cuba détente during Vatican visit  .    Cuban President Raul Castro paid visit to Pope Francis at the Vatican to thank him for working fo</t>
  </si>
  <si>
    <t>CUB VAT</t>
  </si>
  <si>
    <t xml:space="preserve">Hong Kong programme hopes to unearth next fintech blockbuster  .  Ten technology start-ups, including companies from Hong Kong, South Korea, Singapore and the United </t>
  </si>
  <si>
    <t>KOR SGP</t>
  </si>
  <si>
    <t>Australian stock exchange CEO quits amid probe into bribery made to Cambodia PM Hun Sen’s family  .    The head of Australia’s main stock exchange resigned on Monday amid an investigation into allegat</t>
  </si>
  <si>
    <t>KHM AUS</t>
  </si>
  <si>
    <t>UN council huddles with Russia, China on Syria aid resolution but progress painfully slow  .                      UN aid chief Valerie Amos urged the United Nations Security Council on Thursda</t>
  </si>
  <si>
    <t xml:space="preserve">Why Taiwan is likely to remain an important card for USA to play against China  .  Taiwan is expected to remain a major flashpoint for China and the USA despite the election defeat of </t>
  </si>
  <si>
    <t>Donald Trump meets top advisers on Afghanistan peace plan  .  USA President Donald Trump met top advisers on Friday to review negotiations with the Taliban on a US</t>
  </si>
  <si>
    <t>Ebola's dire threat to a sick world  .                      With the migration of Ebola from West Africa to the United States, Spain and G</t>
  </si>
  <si>
    <t xml:space="preserve">Thai police chief unable to confirm reports of Bangkok bomber’s arrest in Malaysia  .    Thailand’s national police chief Somyot Pumpanmuang on Tuesday said he could not confirm reports </t>
  </si>
  <si>
    <t>Beijing has ‘legal right’ to demand Kenya deport Taiwanese fraud suspects  .    Beijing had legal grounds to ask Kenyan authorities to deport Taiwanese fraud suspects to the mai</t>
  </si>
  <si>
    <t>KEN TWN</t>
  </si>
  <si>
    <t>USA approves F-16 support for Taiwan in face of pressure from Beijing  .  The United States has approved the sale to Taiwan of a training and maintenance programme for its F-</t>
  </si>
  <si>
    <t>Promoting development of electric vehicles is key to a green future  .  Britain is to join France in banning new petrol and diesel cars and vans from 2040 to improve air qu</t>
  </si>
  <si>
    <t>USA presses Cambodia over its &amp;#x2018;larger plans&amp;#x2019; to host Chinese military  .  The USA Defence Department has asked Cambodia to explain why it suddenly turned down an offer to repa</t>
  </si>
  <si>
    <t>USA KHM</t>
  </si>
  <si>
    <t>Hand-wringing over North Korea only benefits Kim Jong-un  .  Over the past fortnight, a summit in Washington between new South Korean president Moon Jae-in and U</t>
  </si>
  <si>
    <t>‘What she’s done in Germany is insane’: Donald Trump takes aim at Chancellor Angela Merkel over response to refugee crisis  .    Republican USA presidential front runner Donald Trump branded Angela Merkel's welcoming of migrant</t>
  </si>
  <si>
    <t>Mormon massacre: Donald Trump calls for &amp;#x2018;war&amp;#x2019; on drug cartels after three USA women and six children killed in Mexico ambush  .  Nine USA citizens were killed on Monday when their vehicles were ambushed by gunmen in northern Mexic</t>
  </si>
  <si>
    <t>Ireland marks centenary of revolt that led to independence  .    Ireland on Sunday marks the 100th anniversary of the Easter Rising, a rebellion against British r</t>
  </si>
  <si>
    <t>Japan and USA 'welcome' to take part in AIIB  .                      A senior Chinese finance ministry official has indicated that Beijing would we</t>
  </si>
  <si>
    <t>USA senators tell Donald Trump sale of F-35 fighters will help Taiwan ‘remain a democracy’  .  Two senior Republican senators in the United States on Monday asked the Trump administration to allo</t>
  </si>
  <si>
    <t>Costly electric vehicles confront a harsh coronavirus reality  .  At a factory near Germany’s border with the Czech Republic, Volkswagen’s ambitious strategy to becom</t>
  </si>
  <si>
    <t>DEU CZE</t>
  </si>
  <si>
    <t xml:space="preserve">Bitcoin bomb threats sweep Canada and the US, triggering evacuations – but authorities suspect a massive hoax  .  Bomb threats were reported across the USA and Canada on Thursday, forcing widespread evacuations and </t>
  </si>
  <si>
    <t>Panama Papers reveal 'big holes in USA enforcement'  .    Prosecutors around the world launched investigations in response to a massive data leak that tied</t>
  </si>
  <si>
    <t>PAN USA</t>
  </si>
  <si>
    <t>Japan 1 Colombia 4: Jackson Martinez scores two as South Americans top group  .                      Jackson Martinez scored twice as Colombia beat Japan 4-1 to end their World Cu</t>
  </si>
  <si>
    <t>JPN COL</t>
  </si>
  <si>
    <t>China backs Iran nuclear deal as United States walks away, but could it be a costly decision?  .  China said on Wednesday it remains committed to the Iran nuclear deal despite the United States&amp;rsqu</t>
  </si>
  <si>
    <t>Taiwanese protest outside de facto embassy after Japanese kicks ‘comfort woman’ statue  .  Around 100 human rights activists protested outside Japan&amp;rsquo;s de facto embassy in Taipei on Mond</t>
  </si>
  <si>
    <t>TWN JPN</t>
  </si>
  <si>
    <t>Is China to blame for the North Korea crisis? The answer depends on who you ask  .  In the final week of 2017, USA President Donald Trump made crystal clear what his approach to China w</t>
  </si>
  <si>
    <t>Japanese fans of K-pop and kimchi unfazed by row with South Korea  .  In the &amp;#x201C;Little Seoul&amp;#x201D; area of Tokyo, Japanese shoppers flock to get their fix of K-pop</t>
  </si>
  <si>
    <t>USA has Raqqa in its cross hairs but disagreement with Turkey is delaying assault on IS capital  .  With the battle for the Iraqi city of Mosul barely begun, the USA and its allies say they need to mov</t>
  </si>
  <si>
    <t>AUS ITA</t>
  </si>
  <si>
    <t>Syria chemical attack: World leaders call for investigation at Brussels conference amid anger over global inaction  .  Lebanese PM: &amp;apos;Everyone is coming to Brussels to make a statement but the regime made its statem</t>
  </si>
  <si>
    <t xml:space="preserve">Kim Bok-dong: South Korean survivor of Japan&amp;apos;s &amp;apos;comfort women&amp;apos; camps  .  She endured a system of mass rape during the Second World War and made it her mission to hold Tokyo </t>
  </si>
  <si>
    <t>KOR JPN</t>
  </si>
  <si>
    <t>Russia to &amp;apos;expand mobile nuclear missile patrols&amp;apos; near European borders in 2017  .  The EU is extending sanctions against Russia over the Ukraine crisis</t>
  </si>
  <si>
    <t>North Korea rages against new USA sanctions following Sony cyberattack  .   North Korea is furious at new USA sanctions imposed on three organisations and 10 individuals follow</t>
  </si>
  <si>
    <t xml:space="preserve">Iran nuke deal: Full transcript of President Obama's remarks  .   The USA and Iran, along with other world powers, on Thursday reached a tentative - and "historic" - </t>
  </si>
  <si>
    <t xml:space="preserve">Suspected spy arrested in Germany for passing USA information on NSA inquiry  .   An alleged spy has been arrested in Germany accused of passing the USA information from a committee </t>
  </si>
  <si>
    <t xml:space="preserve">Pity George Osborne, trying to convince the world the UK is &amp;apos;open for business&amp;apos;  .  The Chancellor is on his way to Wall Street - he could jet off to New York, Singapore and China for </t>
  </si>
  <si>
    <t>SGP CHN</t>
  </si>
  <si>
    <t>England vs Australia: Outpouring of support for Gareth Thomas puts spotlight on Israel Folau and his views  .  Folau's views against LGBT rights and same-sex marriage comes in a week where the former Wales capta</t>
  </si>
  <si>
    <t>Ukraine crisis: Kerry warns Putin 'This is not Rocky IV' as Russian fighter jets are put on combat alert  .   Fighter jets along Russia's western borders have reportedly been placed on combat alert amid contin</t>
  </si>
  <si>
    <t>Iran and the USA have been at war for 40 years - so what is different this time?  .  Analysis: Conflict is the two countries' default setting, writes Borzou Daragahi</t>
  </si>
  <si>
    <t>How Belgium&amp;apos;s new AfricaMuseum is helping it address its exploitative colonial past  .  The AfricaMuseum in Brussels turns its back on the king who maimed the Congo</t>
  </si>
  <si>
    <t>BEL COD</t>
  </si>
  <si>
    <t>Theo Walcott and Jack Wilshere among losers from England games with Germany and Netherlands  .  ANALYSIS: The winners and losers from England&amp;apos;s mixed friendly performances</t>
  </si>
  <si>
    <t>Pakistan Prime Minister Nawaz Sharif sends mangoes to Indian counterpart Narendra Modi to sweeten relations ahead of possible New York meeting  .   Could a case of delicious mangoes help sweeten the increasingly bitter relationship between India a</t>
  </si>
  <si>
    <t xml:space="preserve">Israel &amp;apos;thought building was empty&amp;apos; after airstrike kills five children in Gaza  .  p.p1 {margin: 0.0px 0.0px 0.0px 0.0px; font: 12.0px 'Helvetica Neue'; color: #454545} p.p2 {margin: </t>
  </si>
  <si>
    <t>Syria air strikes: Khorasan Group ‘were working to make toothpaste bombs and explosives that could pass through airport security'  .   An al-Qaeda linked terrorist group targeted by the USA in a second round of air strikes had been wor</t>
  </si>
  <si>
    <t>Julien Blanc exits Australia: 'Pick-up artist' has visa cancelled after protests against his 'abusive' dating seminars  .   Julien Blanc, a USA ‘pick-up artist’, has ended his Australian tour early, following strident protes</t>
  </si>
  <si>
    <t>David De Gea: Spain &amp;apos;send home Manchester United goalkeeper from Euro 2016 squad&amp;apos; after allegations in Spanish press  .  De Gea will not feature in Spain&amp;apos;s Euro 2016 campaign in France</t>
  </si>
  <si>
    <t>Rafael Nadal clinches Davis Cup victory for Spain in straight-sets win over Canada&amp;apos;s Denis Shapovalov  .  It is Spain's first title since 2011</t>
  </si>
  <si>
    <t>ESP CAN</t>
  </si>
  <si>
    <t xml:space="preserve">'Why Donald Trump is the man to strike a deal between China and Taiwan'  .  </t>
  </si>
  <si>
    <t>Chinese fighter jet performs 'dangerous' aerial stunts close to USA patrol pane  .   The Pentagon has launched a diplomatic protest with Beijing after a Chinese fighter pilot flew peri</t>
  </si>
  <si>
    <t xml:space="preserve">Global pressure mounts on Saudis as Turkey, USA senators and UN turn up heat over Khashoggi murder  .  </t>
  </si>
  <si>
    <t>Ireland 22 New Zealand 24 match report: All Blacks leave it late to secure historic unbeaten year  .   Aaron Cruden's second attempt at an overtime conversion put an end to Ireland's best-ever chance of</t>
  </si>
  <si>
    <t>IRL NZL</t>
  </si>
  <si>
    <t>Tony Blair calls on Western powers to 'co-operate' with Russia to fight radical Islam despite Ukraine crisis  .   Tony Blair today called on Britain to put aside its difference with Russia over Ukraine and “co-ope</t>
  </si>
  <si>
    <t>Lionel Messi retires from international football after Copa America loss and penalty miss against Chile  .  Argentina and Barcelona&amp;apos;s Lionel Messi has retired from international football after missing in</t>
  </si>
  <si>
    <t>Time runs out for Afghanistan: Hamid Karzai holds out on signing agreement on USA and UK troops as deadline approaches  .   The deadline for an agreement which will shape the future of Afghanistan is due to pass tomorrow wi</t>
  </si>
  <si>
    <t>&amp;apos;No choice but to hope&amp;apos;: The personal stories behind a painful year in the Israel-Palestine conflict  .  Mounting anger with leaders is the common cry I heard across the political divide throughout 2018</t>
  </si>
  <si>
    <t xml:space="preserve">Donald Trump and Saudi King Salman agree safe zones plans in Syria and Yemen  .  Leaders discussed future humanitarian provisions in the bloody Syrian and Yemeni civil wars as well </t>
  </si>
  <si>
    <t>Israel-Palestine is not an equal conflict – for that reason we can&amp;apos;t let people like Corbyn be tarnished as terrorist sympathisers  .  A clash between a nation-state with a defence budget of $18.6 billion and a politically, geographica</t>
  </si>
  <si>
    <t>Isis makes further advances in Syria while West vacillates over Iraq  .   As the West dithers about how to respond to the plight of Christians and Yazidis fleeing fundamenta</t>
  </si>
  <si>
    <t>Russia's Sberbank launches legal challenge against EU over Ukraine sanctions  .   Sberbank, Russia's largest lender, is taking the European Union to court in an attempt to loosen We</t>
  </si>
  <si>
    <t>New Zealand vs Namibia RWC 2015: Jacques Burger expects first Rugby World Cup win before retirement  .  After serious knee surgery, Burger was told he would never play rugby again. But as he tells Jack de</t>
  </si>
  <si>
    <t>Massacre of innocents: As Syria and Russia bombard eastern Aleppo children are also dying in the west of the city  .  As the world rightly decries the savagery committed in eastern Aleppo, in the west of the city there</t>
  </si>
  <si>
    <t xml:space="preserve">Bashar al-Assad says he is open to cooperation with Donald Trump over &amp;apos;promising&amp;apos; Syria policies  .  &amp;apos;We have more hopes regarding the USA because of the new administration,&amp;apos; Syrian President </t>
  </si>
  <si>
    <t xml:space="preserve">How Russia has reacted to the air strikes on Syria  .  </t>
  </si>
  <si>
    <t>Australia should prepare for North Korea attack, former Pentagon official warns  .  &amp;apos;Australia doesn&amp;apos;t really get to choose whether or not North Korea threatens it&amp;apos;</t>
  </si>
  <si>
    <t>AUS PRK</t>
  </si>
  <si>
    <t>Israel-Gaza conflict: Civilian casualties in Gaza tell stories of death and heartbreak  .  Mohammed Abu Tair was carrying his little daughter out of a burning house when the second missile st</t>
  </si>
  <si>
    <t>Hamish McRae: The USA oil boom is helping to power global growth but we don’t know how sustainable it will be  .   Saudi Arabia has just told Opec that it is cutting its oil production – a response to the Brent pri</t>
  </si>
  <si>
    <t>Chinese and USA security reportedly scuffled over nuclear football during Trump&amp;apos;s state visit  .  Briefcase containing nuclear codes reportedly causes commotion in Beijing&amp;apos;s Great Hall</t>
  </si>
  <si>
    <t xml:space="preserve">The USA's World Cup interest was adorably American  .   USA/Team USA/#TeamUSA/USMNT got the humbling defeat it secretly desired in a match with Belgium so </t>
  </si>
  <si>
    <t>USA BEL</t>
  </si>
  <si>
    <t>Manchester United seek new France and Spain scouts to find &amp;apos;world class&amp;apos; talent  .  United want to build 'talent pipeline and world-class first team squad'</t>
  </si>
  <si>
    <t>Montenegro given one-match stadium ban by Uefa over fans racially abusing England players  .  Uefa has ordered Montenegro to play the European Championship qualifier against Kosovo on 7June behi</t>
  </si>
  <si>
    <t>MNE KOS</t>
  </si>
  <si>
    <t>Greece debt crisis: Lack of jobs mars the bright outlook in Spain  .   A common refrain in Madrid is that “Spain is not Greece”, meaning it is wrong to approximate Spain’</t>
  </si>
  <si>
    <t>New Zealand vs Australia result: All Blacks gain revenge against rivals in style to retain Bledisloe Cup  .  A week ago the Kiwis suffered the heaviest defeat in their 583-Test history</t>
  </si>
  <si>
    <t>NZL AUS</t>
  </si>
  <si>
    <t>Theresa May now as unpopular in Germany as Vladimir Putin, poll finds  .  UK Prime Minister has a negative approval rating in every country surveyed and is even behind France</t>
  </si>
  <si>
    <t>Germany named best country in the world  .   Germany has beaten the USA to be named the best country in the world, according to a survey that rat</t>
  </si>
  <si>
    <t>Pressure grows on UK to return looted colonial artefacts as France prepares to give back artworks  .  Benin's culture minister welcomes 'opening of a broader discussion'</t>
  </si>
  <si>
    <t>FRA BEN</t>
  </si>
  <si>
    <t>Conchita Wurst: How Eurovision 2014's bearded drag ‘pervert’ reviled by Russia became the toast of Europe  .   Eurovision is over and this year’s queen has been crowned: Conchita Wurst, Austria’s drag act who h</t>
  </si>
  <si>
    <t>RUS AUT</t>
  </si>
  <si>
    <t>Iran’s nuclear ambitions: Israel will not wait until it’s too late, warns Benjamin Netanyahu  .   Benjamin Netanyahu has again warned that Israel will not wait “until it’s too late” to stymie Iran’</t>
  </si>
  <si>
    <t>UK threatens to offer citizenship bids to 300,000 Hong Kong residents unless China scraps security law  .  Dominic Raab accused of offering 'worthless tourist visa' by Hong Kong-born UK academic</t>
  </si>
  <si>
    <t>Syria crisis: David Cameron seeks USA curity Council backing for draft resolution that would authorise use of 'all necessary measures'  .   Britain is to seek USA curity Council backing for “all necessary measures to protect civilians” in</t>
  </si>
  <si>
    <t>Iran warned by Pentagon after &amp;apos;harassing&amp;apos; USA destroyer in Persian Gulf  .  USA fears confrontation with Iran at sea</t>
  </si>
  <si>
    <t>John Kerry bicycle accident: USA Secretary of State having X-rays in hospital after crash  .   The USA Secretary of State John Kerry has been flown to hospital after a bike accident in France.</t>
  </si>
  <si>
    <t>Russia releases 'proof' Turkey is smuggling Isis oil over its border  .  Moscow publishes satellite images purporting to show Turkish trucks filling up in Isis-controlled Ir</t>
  </si>
  <si>
    <t>As leaders of the UK opposition parties, we call on the government to stop fuelling the war in Yemen  .  The UK has awarded at least £4.6 billion of arms export licences to Saudi Arabia. Now Yemen stands o</t>
  </si>
  <si>
    <t>Australia vs Peru LIVE World Cup 2018: Prediction, how to watch online, what time, what channel, team news, line-ups, betting odds  .  How to follow all the action in the final game of Group C</t>
  </si>
  <si>
    <t>AUS PER</t>
  </si>
  <si>
    <t xml:space="preserve">Why Cristiano Ronaldo really could go to prison - but it is not that straightforward for the Real Madrid star  .  The Portuguese superstar, who has since said he wants to leave Spain, is facing four charges of tax </t>
  </si>
  <si>
    <t>Oil prices soar as concerns over Egypt political crisis and Portugal's economic stability cause FTSE to fall  .   Fears over the impact of political unrest in Egypt has sent oil prices to their highest level in mo</t>
  </si>
  <si>
    <t>EGY PRT</t>
  </si>
  <si>
    <t xml:space="preserve">National Security Advisor John Bolton brands Iran ‘rogue regime’ as USA pulls out of 1955 treaty  .  </t>
  </si>
  <si>
    <t>Jordan Peterson: The controversial professor who became the most influential public academic in the world  .  If he ran for office it would be for Canada&amp;apos;s liberal party, currently lead by Justin Trudeau</t>
  </si>
  <si>
    <t>JOR CAN</t>
  </si>
  <si>
    <t>AB InBev hit by decline in beer sales in Russia and China  .  Shares in AB InBev, the world’s biggest brewer, fell three per cent in early trading after it missed</t>
  </si>
  <si>
    <t>Growth in Germany and France ends euro recession  .   Germany and France finally powered the eurozone out of its longest-ever recession between April and</t>
  </si>
  <si>
    <t>David Haines: British aid worker 'helped whoever needed it, regardless of race, creed or religion'  .   British aid worker David Haines, whose killing by jihadis in Syria and Iraq is shown in a newly rel</t>
  </si>
  <si>
    <t>USA blocks UN vote to condemn Israeli demolition of Palestinian homes  .  The USA House of Representatives also voted to condemn boycotts against Israel this week</t>
  </si>
  <si>
    <t>Trump&amp;apos;s Taiwan phone call was long planned, say people who were involved  .  Historic communication - first between leaders of USA and Taiwan since 1979 - the product of months o</t>
  </si>
  <si>
    <t>USA unemployment and Syria have clouded the picture over tapering  .   To taper or not to taper: that will be the question confronting members of the USA Federal Reserve’s</t>
  </si>
  <si>
    <t>Syria chemical attack obscene and undeniable, says John Kerry, as fears grow over Western strike  .   The USA Secretary of State, John Kerry, last night accused Bashar al-Assad’s Syrian regime of delibe</t>
  </si>
  <si>
    <t>Chinese newspaper accuses &amp;apos;inexperienced&amp;apos; Donald Trump of having tantrums  .  The President-elect held a protocol-breaking call with Taiwan, causing diplomatic worry for US-China</t>
  </si>
  <si>
    <t>Russia&amp;apos;s 2014 annexation of Crimea from Ukraine caused huge rises in chicken prices  .  Prices were up 39 per cent in 2015 and 10 per cent in 2016</t>
  </si>
  <si>
    <t>Special report: David Cameron and Barack Obama warn Assad that military action against Syria looms closer  .   Military action against Syria moved a step closer last night after Britain and the United States wa</t>
  </si>
  <si>
    <t>Isis could unleash car bombs and chemical weapons on Europe as new terror tactics employed, Europol warns  .  Report warns that threat will continue even if Isis is defeated in Iraq and Syria</t>
  </si>
  <si>
    <t>College professor fired after joking Iran should make list of USA cultural sites to bomb: &amp;apos;Mall of America? Kardashian residence?&amp;apos;  .  Babson College says it conducted a 'thorough investigation' into the joke before firing professor af</t>
  </si>
  <si>
    <t>Rafiq Hariri tribunal: Was the former Lebanon PM's assassination the work of Syria's President Assad?  .  Walid Jumblatt, the Lebanese Druze leader, was describing the last days of his friend, the former Le</t>
  </si>
  <si>
    <t xml:space="preserve">Trump warns North Korea's Kim if he messes with the USA ‘he will truly regret it’  .  </t>
  </si>
  <si>
    <t>Russia says it will continue air strikes against Isis and other rebels hours after it starts pulling troops out of Syria  .  Russia&amp;apos;s deputy defence minister said the Russian air force has &amp;apos;the task to continue carr</t>
  </si>
  <si>
    <t xml:space="preserve">Russia cannot hope to match global might of America, says Barack Obama in warning to Vladimir Putin  .   The USA President, Barack Obama, has issued a warning to Russia’s Vladimir Putin to keep his troops </t>
  </si>
  <si>
    <t>Angela Merkel defends Nato allies after criticism from USA vice president Mike Pence over Iran deal  .  German chancellor offers strong defence of nuclear agreement and multilateral cooperation</t>
  </si>
  <si>
    <t>Trump impeachment: Testimony from two of president&amp;apos;s Ukraine &amp;apos;three amigos&amp;apos; released, report says  .  Impeachment investigators have released testimony from two senior USA diplomats who have provided evi</t>
  </si>
  <si>
    <t>Typhoon Phanfone batters Japan   .   A USA serviceman has been killed and two are missing after a powerful typhoon slammed into central J</t>
  </si>
  <si>
    <t>Where is the Pope today? Pope Francis expected to meet President Obama and address Bishop's conference  .  Pope Francis arrived in the USA after visiting Cuba</t>
  </si>
  <si>
    <t>USA issues Saudi Arabia travel warning ahead of Barack Obama visit  .  Possible targets for terror attacks include housing compounds, hotels, restaurants, shopping areas a</t>
  </si>
  <si>
    <t>South Korean man dies after setting himself on fire outside Japanese embassy  .  Police say man told acquaintance he would set himself ablaze to show 'antipathy to Japan'</t>
  </si>
  <si>
    <t>Trump agrees to sell South Korea arms worth billions of dollars as threat from North grows  .  The USA President also approved Seoul&amp;apos;s review of cap on development of ballistic missiles – mea</t>
  </si>
  <si>
    <t>Rugby World Cup 2019 – Georgia vs Uruguay LIVE: Score, stream and latest updates from Pool D fixture  .  Follow all the live action from Kumagaya</t>
  </si>
  <si>
    <t>GEO URY</t>
  </si>
  <si>
    <t xml:space="preserve">How Nadia Nadim escaped the Taliban to forge a new life in Denmark and become a true football trailblazer  .  After fleeing her native Afghanistan, Nadim found a new life in Denmark where it was acceptable for </t>
  </si>
  <si>
    <t>DNK AFG</t>
  </si>
  <si>
    <t>Amnesty International urges Britain to stop supplying arms to Saudi Arabia  .  Airstrikes in Yemen have killed thousands of civilians</t>
  </si>
  <si>
    <t>Coronavirus news – live: Japan and USA evacuate hundreds from Wuhan as death toll rises to 132  .  Follow the latest updates</t>
  </si>
  <si>
    <t>With an identity caught between China and the West, Hong Kong is not at ease with itself - or its future  .  Is the future freedom of Hong Kong perhaps really in the hands of folk like HSBC and Citibank and th</t>
  </si>
  <si>
    <t>Syria chlorine attack: USA curity Council members 'moved to tears' by images of dying women and children  .   Members of the USA curity Council were reportedly moved to tears after being shown images of civil</t>
  </si>
  <si>
    <t xml:space="preserve">Israel faces international condemnation over two-day ‘massacre’ at Gaza border  .  </t>
  </si>
  <si>
    <t>Coronavirus: France and Germany call for €500bn-European recovery fund to combat economic impact of pandemic  .  France and Germany have called for the creation of a €500bn reconstruction plan to help Europe recov</t>
  </si>
  <si>
    <t>India-Pakistan latest news: Locals flee homes as two nations exchange gunfire in Kashmir and international allies urge de-escalation  .  Follow The Independent's live coverage as the tension between the two nuclear-armed states escalates</t>
  </si>
  <si>
    <t>ICC World Twenty20: England reach final after smashing New Zealand by seven wickets in Delhi  .  They will face either India or West Indies on Sunday</t>
  </si>
  <si>
    <t>Malaysia Airlines MH17 crash: Russian government agencies accused of Wikipedia edit saying 'Ukraine shot down plane'  .   Russian government agencies have been accused of editing a Wikipedia article to suggest the Ukraini</t>
  </si>
  <si>
    <t>World Cup 2018: Jordan Henderson issues England rallying cry ahead of Belgium clash  .  'There is no chance of us taking our foot off the pedal. We want to build on our performances so far</t>
  </si>
  <si>
    <t>JOR BEL</t>
  </si>
  <si>
    <t>Ukraine votes to introduce martial law across ten regions after clash with Russia  .  Supporters of legislation say is only only possible reaction to the military engagement around the S</t>
  </si>
  <si>
    <t xml:space="preserve">Turkish president offers USA 'Ottoman slap' ahead of Rex Tillerson's visit to Turkey  .  </t>
  </si>
  <si>
    <t>Rafael Nadal pays tribute to Roberto Bautista Agut&amp;apos;s &amp;apos;out of this planet&amp;apos; contribution to Spain&amp;apos;s Davis Cup win after father passes away  .  Spain beat a youthful Canada in the final at Caja Magica in Madrid</t>
  </si>
  <si>
    <t>Isis: Islam is &amp;apos;not strongest factor&amp;apos; behind foreign fighters joining extremist groups in Syria and Iraq - report  .  Military analysts say militant groups can prefer recruits who won&amp;apos;t challenge ideology</t>
  </si>
  <si>
    <t>World Cup 2018: Russia down Saudi Arabia as greatest show on earth starts as it means to go on  .  A match with so much mystery - and the hosts coming out on top - was the perfect start to a tourname</t>
  </si>
  <si>
    <t>New Zealand vs India player ratings as Black Caps reach World Cup final in Old Trafford thriller  .  Martin Guptill's incredible run out of MS Dhoni proved vital as the Black Caps booked their place at</t>
  </si>
  <si>
    <t>BEL</t>
  </si>
  <si>
    <t>US, allies stage 17 strikes against Islamic State in Iraq, Syria  .  &lt;br/&gt;&lt;br/&gt;</t>
  </si>
  <si>
    <t>Suspected USA drone kills militants on Pakistan-Afghan border  .  &lt;br/&gt;&lt;br/&gt;</t>
  </si>
  <si>
    <t>France's Hollande urges Russia to stop backing Assad  .  &lt;br/&gt;&lt;br/&gt;</t>
  </si>
  <si>
    <t>France ready to recognize Guaido if Venezuela doesn't call elections  .  &lt;br/&gt;&lt;br/&gt;</t>
  </si>
  <si>
    <t>FRA VEN</t>
  </si>
  <si>
    <t>Gaza rebuilding conference secures $5.4 billion, Norway says  .  &lt;img height='80' width='100' align='right' src='http://www.jpost.com/HttpHandlers/ShowImage.ashx?id=</t>
  </si>
  <si>
    <t>PSE NOR</t>
  </si>
  <si>
    <t>USA stands by assertion that North Korea behind Sony attack  .  &lt;img height='80' width='100' align='right' src='http://www.jpost.com/HttpHandlers/ShowImage.ashx?id=</t>
  </si>
  <si>
    <t>Germany concerned about events in Crimea, defense minister says  .  Germany is concerned about events in Crimea and a breakup of Ukraine must be avoided, Germany's Defe</t>
  </si>
  <si>
    <t>DEU UKR</t>
  </si>
  <si>
    <t>'Russia, Iran have signed contract for S-300 missile system delivery'  .  &lt;img height='80' width='100' align='right' src='http://www.jpost.com/HttpHandlers/ShowImage.ashx?id=</t>
  </si>
  <si>
    <t>Qatar to send delayed $15 million payment to Gaza  .  &lt;img height='80' width='100' align='right' src='https://images.jpost.com/image/upload/f_auto,fl_loss</t>
  </si>
  <si>
    <t>QAT PSE</t>
  </si>
  <si>
    <t>Pompeo says all USA diplomats have left Venezuela  .  &lt;br/&gt;&lt;br/&gt;</t>
  </si>
  <si>
    <t xml:space="preserve">Two years of attacks from Syria, increasing escalation show Iran's entrenchment  .  </t>
  </si>
  <si>
    <t>First Freight Train Departs the Port of Baku, Azerbaijan on Newly Opened Baku-Tbilisi-Kars (BTK) Railway Line  .  &lt;img height='80' width='100' align='right' src='http://www.jpost.com/HttpHandlers/ShowImage.ashx?id=</t>
  </si>
  <si>
    <t>AZE GEO</t>
  </si>
  <si>
    <t>Netanyahu unlikely to meet Pope Francis in the Vatican  .  Prime Minister Binyamin Netanyahu is unlikely to meet Pope Francis when he travels to Italy this wee</t>
  </si>
  <si>
    <t>Iran's Rouhani dismisses new USA sanctions, calls White House 'retarded'  .  &lt;br/&gt;&lt;br/&gt;</t>
  </si>
  <si>
    <t>U.K. Prime Minister May: links with Saudi Arabia have saved British lives  .  &lt;br/&gt;&lt;br/&gt;</t>
  </si>
  <si>
    <t>SAU GBR</t>
  </si>
  <si>
    <t>USA embassy in Zimbabwe tells staff to stay home due to 'political uncertainty'  .  &lt;br/&gt;&lt;br/&gt;</t>
  </si>
  <si>
    <t>USA ZWE</t>
  </si>
  <si>
    <t>USA House clears three Iran deal-related bills for debate  .  &lt;br/&gt;&lt;br/&gt;</t>
  </si>
  <si>
    <t>Turkey rejects independent Kurdish state, wants Iraq unity government  .  &lt;img height='80' width='100' align='right' src='http://www.jpost.com/HttpHandlers/ShowImage.ashx?id=</t>
  </si>
  <si>
    <t>Russia concerned about military confrontation between Israel and Iran  .  &lt;img height='80' width='100' align='right' src='https://images.jpost.com/image/upload/f_auto,fl_loss</t>
  </si>
  <si>
    <t>Trump's Venezuela envoy says USA won't use force to deliver aid  .  &lt;br/&gt;&lt;br/&gt;</t>
  </si>
  <si>
    <t>Hamas leader Khaled Mashal ready to accept humanitarian ceasefire in Gaza  .  Speaking in Qatar, Hamas leader Khaled Mashal stated that he is willing to accept a humanitarian cea</t>
  </si>
  <si>
    <t>PSE QAT</t>
  </si>
  <si>
    <t>Dollar up on robust USA data, though Ukraine crisis trims gains  .  &lt;img height='80' width='100' align='right' src='http://www.jpost.com/HttpHandlers/ShowImage.ashx?id=</t>
  </si>
  <si>
    <t>Russia flies 33 sorties, strikes 32 ISIS targets in Syria  .  &lt;br/&gt;&lt;br/&gt;</t>
  </si>
  <si>
    <t>'Firework device' explodes outside USA Embassy in China, wounding suspect, police say  .  &lt;br/&gt;&lt;br/&gt;</t>
  </si>
  <si>
    <t>Ex-USA Marine held by Russia in spy case illegally isolated  .  &lt;br/&gt;&lt;br/&gt;</t>
  </si>
  <si>
    <t>USA military says no civilians killed in August Somalia raid  .  &lt;br/&gt;&lt;br/&gt;</t>
  </si>
  <si>
    <t xml:space="preserve">Iran's Supreme Leader Khamenei receives emir of Kuwait  .  Kuwait's emir Sheikh Sabah al-Ahmed al-Sabah, on a two-day visit to Iran, on Monday was received by </t>
  </si>
  <si>
    <t>IRN KWT</t>
  </si>
  <si>
    <t>Kremlin: USA to blame for no Putin-Trump bilateral meeting in Vietnam  .  &lt;br/&gt;&lt;br/&gt;</t>
  </si>
  <si>
    <t>Netanyahu hopes US-Russia deal results in 'complete' destruction of Syria's chemical weapons  .  JERUSALEM - Prime Minister Binyamin Netanyahu said on Sunday Israel hoped a US-Russian deal to remov</t>
  </si>
  <si>
    <t>USA envoy to Germany: U.N. Human Rights Council is antisemitic  .  &lt;img height='80' width='100' align='right' src='https://images.jpost.com/image/upload/f_auto,fl_loss</t>
  </si>
  <si>
    <t>Jordan elected to take Saudi seat on USA curity Council  .   The 193-member UN&lt;a class=""cite""&gt;General Assembly&lt;/a&gt; elected &lt;a class=""cite""&gt;Jordan&lt;/a&gt; to t</t>
  </si>
  <si>
    <t>Venezuela give USA diplomats 72 hours to leave, blames Trump for blackout  .  &lt;br/&gt;&lt;br/&gt;</t>
  </si>
  <si>
    <t>Emir of Kuwait to meet Russia's Putin, discuss Middle East  .  &lt;br/&gt;&lt;br/&gt;</t>
  </si>
  <si>
    <t>KWT RUS</t>
  </si>
  <si>
    <t>Russia says embassy staff in Libya evacuated after attack  .  MOSCOW - Russia evacuated embassy staff and their families from Libya on Thursday after gunmen tried</t>
  </si>
  <si>
    <t>Germany should bar Kuwait Airways  .  &lt;img height='80' width='100' align='right' src='http://www.jpost.com/HttpHandlers/ShowImage.ashx?id=</t>
  </si>
  <si>
    <t>DEU KWT</t>
  </si>
  <si>
    <t>Germany says embassy, schools in Turkey closed until weekend  .  &lt;br/&gt;&lt;br/&gt;</t>
  </si>
  <si>
    <t>North Korea says USA driving peninsula to 'explosion'  .  &lt;br/&gt;&lt;br/&gt;</t>
  </si>
  <si>
    <t>Iran’s Zarif arrives in Iraq for 'new chapter' as Tehran cements Iraq-Iran alliance  .  &lt;img height='80' width='100' align='right' src='https://images.jpost.com/image/upload/f_auto,fl_loss</t>
  </si>
  <si>
    <t xml:space="preserve">Police raid home of British teenager killed in Syria  .  LONDON - Police investigating the death of a British teenager who was killed fighting in Syria last </t>
  </si>
  <si>
    <t>USA conducts air strikes in Iraq near Arbil and Mosul dam  .  &lt;img height='80' width='100' align='right' src='http://www.jpost.com/HttpHandlers/ShowImage.ashx?id=</t>
  </si>
  <si>
    <t>Iran may put the USA military on its terror list  .  &lt;br/&gt;&lt;br/&gt;</t>
  </si>
  <si>
    <t>'Iran and USA irritating each other with conflicting statements on nuclear deal'  .  &lt;img height='80' width='100' align='right' src='http://www.jpost.com/HttpHandlers/ShowImage.ashx?id=</t>
  </si>
  <si>
    <t>Syria needs new constitution, says Russia's Putin  .  &lt;img height='80' width='100' align='right' src='http://www.jpost.com/HttpHandlers/ShowImage.ashx?id=</t>
  </si>
  <si>
    <t>Germany seeking safe zones in Syria near Turkish border  .  &lt;br/&gt;&lt;br/&gt;</t>
  </si>
  <si>
    <t>Iran accuses USA of 'Iranophobia,' arming 'dangerous terrorists'  .  &lt;br/&gt;&lt;br/&gt;</t>
  </si>
  <si>
    <t>USA Marine pilot dies after ejecting from plane off Japan  .  &lt;br/&gt;&lt;br/&gt;</t>
  </si>
  <si>
    <t>USA curity Council members condemn N.Korea missile launch  .  UNITED NATIONS - Members of the USA curity Council on Thursday condemned North Korea's recent balli</t>
  </si>
  <si>
    <t>Turkey offers help on possibly captured Israeli, says Gaza cease-fire priority  .  ISTANBUL - Turkey will do what it can to help free an IDF soldier whose capture led to the breakdown</t>
  </si>
  <si>
    <t>TUR PSE</t>
  </si>
  <si>
    <t>Assad allies say USA attack on Syria air base crosses 'red lines'  .  &lt;br/&gt;&lt;br/&gt;</t>
  </si>
  <si>
    <t>USA issues new travel alert for Ukraine amid Kiev violence  .  WASHINGTON - The United States issued a new travel alert for Ukraine on Tuesday, citing increased ri</t>
  </si>
  <si>
    <t>USA Reform leader calls on Israel to ´take precautions´ in Gaza clashes  .  &lt;img height='80' width='100' align='right' src='http://images.jpost.com/image/upload/f_auto,fl_lossy</t>
  </si>
  <si>
    <t xml:space="preserve">Trump urges Mexico to block illegal immigrants from El Salvador  .  </t>
  </si>
  <si>
    <t>MEX SLV</t>
  </si>
  <si>
    <t>'Israelis must protest Iran deal outside USA Embassy'  .  &lt;img height='80' width='100' align='right' src='http://www.jpost.com/HttpHandlers/ShowImage.ashx?id=</t>
  </si>
  <si>
    <t>China's Huawei CFO makes bail in Canada, Trump considers intervening  .  &lt;img height='80' width='100' align='right' src='https://images.jpost.com/image/upload/f_auto,fl_loss</t>
  </si>
  <si>
    <t>Report: Trump tells Macron USA to pull out of Iran nuclear deal  .  &lt;img height='80' width='100' align='right' src='https://images.jpost.com/image/upload/f_auto,fl_loss</t>
  </si>
  <si>
    <t>USA military ship changes course after Iran vessel confrontation  .  &lt;img height='80' width='100' align='right' src='http://www.jpost.com/HttpHandlers/ShowImage.ashx?id=</t>
  </si>
  <si>
    <t>USA military planes carry out airstrikes againts Islamic State near Iraq's Haditha Dam  .  &lt;img height='80' width='100' align='right' src='http://www.jpost.com/HttpHandlers/ShowImage.ashx?id=</t>
  </si>
  <si>
    <t>Why the USA and UK suck at making deals  .  &lt;img height='80' width='100' align='right' src='https://images.jpost.com/image/upload/f_auto,fl_loss</t>
  </si>
  <si>
    <t>Saudi Arabia stops all medical treatment programs in Canada  .  &lt;br/&gt;&lt;br/&gt;</t>
  </si>
  <si>
    <t>SAU CAN</t>
  </si>
  <si>
    <t xml:space="preserve">Car bomb kills at least 10 people near Syria's border with Turkey  .  </t>
  </si>
  <si>
    <t>Netanyahu to Chinese FM: Iran must be denied nuclear weapons capabilities  .  Prime Minister Binyamin Netanyahu reiterated on Wednesday his warning that Iran be denied the capabi</t>
  </si>
  <si>
    <t>CHN IRN</t>
  </si>
  <si>
    <t>Wikileaks Press: Snowden seeks temporary asylum in Russia  .  MOSCOW - Former USA spy agency contractor Edward Snowden is seeking temporary asylum in Russia and pl</t>
  </si>
  <si>
    <t>China suspends planned tariffs scheduled for Dec. 15 on some USA goods  .                      &lt;img align='right' src='https://www.jpost.com//HttpHandlers/ShowImage.ashx?id=</t>
  </si>
  <si>
    <t>Turkey to remove troops from UNIFIL peacekeeping force in Lebanon  .  &lt;img height='80' width='100' align='right' src='http://www.jpost.com/HttpHandlers/ShowImage.ashx?id=</t>
  </si>
  <si>
    <t>TUR LBN</t>
  </si>
  <si>
    <t>USA envoy: Syria withdrawal won't be abrupt  .  &lt;br/&gt;&lt;br/&gt;</t>
  </si>
  <si>
    <t>Pentagon: USA special forces to Syria is 'for starters'  .  &lt;br/&gt;&lt;br/&gt;</t>
  </si>
  <si>
    <t>Egypt's Sisi cuts short Ethiopia visit after 32 killed in Sinai  .  &lt;img height='80' width='100' align='right' src='http://www.jpost.com/HttpHandlers/ShowImage.ashx?id=</t>
  </si>
  <si>
    <t>EGY ETH</t>
  </si>
  <si>
    <t>Most USA Jews back nuclear deal with Iran, J Street poll shows  .  &lt;br/&gt;&lt;br/&gt;</t>
  </si>
  <si>
    <t>USA cretary-General: Gaza is a ‘constant humanitarian emergency'  .  &lt;img height='80' width='100' align='right' src='http://images.jpost.com/image/upload/f_auto,fl_lossy</t>
  </si>
  <si>
    <t>China denies Qingdao port visit for USA warship amid tensions  .  &lt;br/&gt;&lt;br/&gt;</t>
  </si>
  <si>
    <t>Iran Deputy FM discusses ""regional development"" in Oman  .  &lt;br/&gt;&lt;br/&gt;</t>
  </si>
  <si>
    <t>IRN OMN</t>
  </si>
  <si>
    <t>Putin signs Syria base deal, cementing Russia's presence there for half a century  .  &lt;br/&gt;&lt;br/&gt;</t>
  </si>
  <si>
    <t>British woman killed in possible 'extremist' stabbing attack in Australia  .  &lt;br/&gt;&lt;br/&gt;</t>
  </si>
  <si>
    <t>GBR AUS</t>
  </si>
  <si>
    <t>UK deports 'bin Laden's right hand man in Europe' to Jordan  .  &lt;img height='80' width='100' align='right' src='http://www.jpost.com/HttpHandlers/ShowImage.ashx?id=</t>
  </si>
  <si>
    <t>Iran's Mahan Air flights to Venezuela are believed to be politically motivated  .  &lt;br/&gt;&lt;br/&gt;</t>
  </si>
  <si>
    <t>IRN VEN</t>
  </si>
  <si>
    <t>Trump says USA 'totally prepared' for military option in North Korea  .  &lt;br/&gt;&lt;br/&gt;</t>
  </si>
  <si>
    <t xml:space="preserve">Hamas claims Dimona bombing; PA implicates Iran and Syria  .  </t>
  </si>
  <si>
    <t>New Zealand defends mosque attack response meeting in Turkey  .  &lt;img height='80' width='100' align='right' src='https://images.jpost.com/image/upload/f_auto,fl_loss</t>
  </si>
  <si>
    <t>NZL TUR</t>
  </si>
  <si>
    <t>Report: Qatar threatened to expel Mashaal if Hamas okayed Egypt-proposed truce  .  &lt;img height='80' width='100' align='right' src='http://www.jpost.com/HttpHandlers/ShowImage.ashx?id=</t>
  </si>
  <si>
    <t>QAT EGY</t>
  </si>
  <si>
    <t>USA senator urges Egypt's military to hold elections quickly  .  WASHINGTON - Egypt's military must move ""more aggressively"" to hold elections and future USA aid wi</t>
  </si>
  <si>
    <t>USA Senator Graham says he strongly supports Trump on Turkey sanctions  .  &lt;br/&gt;&lt;br/&gt;</t>
  </si>
  <si>
    <t>Iran tries to blame Israel and USA for Iraqi protests  .  &lt;img height='80' width='100' align='right' src='https://images.jpost.com/image/upload/f_auto,fl_loss</t>
  </si>
  <si>
    <t>World powers gather in Vienna over Iran, distracted by Gaza operation  .  &lt;img height='80' width='100' align='right' src='http://www.jpost.com/HttpHandlers/ShowImage.ashx?id=</t>
  </si>
  <si>
    <t>IRN PSE</t>
  </si>
  <si>
    <t>Body of Hamas engineer eliminated in Malaysia arrives in Gaza  .  &lt;img height='80' width='100' align='right' src='https://images.jpost.com/image/upload/f_auto,fl_loss</t>
  </si>
  <si>
    <t>MYS PSE</t>
  </si>
  <si>
    <t>UAE: We will stand with Sudan in 'good times and bad times'  .  &lt;br/&gt;&lt;br/&gt;</t>
  </si>
  <si>
    <t>ARE SDN</t>
  </si>
  <si>
    <t>Lebanese army kill 2, arrests 27 militants in Syria border town  .  &lt;br/&gt;&lt;br/&gt;</t>
  </si>
  <si>
    <t xml:space="preserve">Iran: Syria will allow UN to probe site of alleged chemical weapons strike  .  Iran on Saturday said Syria will allow UN inspectors entry to a site near Damascus where an alleged </t>
  </si>
  <si>
    <t>Moscow tells USA to drop Middle East troop plans or risk war with Iran  .  &lt;br/&gt;&lt;br/&gt;</t>
  </si>
  <si>
    <t>US, EU say concerned at failure to break Egypt stalemate  .  WASHINGTON - The United States and the European Union said on Wednesday they were concerned and trou</t>
  </si>
  <si>
    <t>Turkey's Erdogan discussed lender Halkbank, Syria with Trump  .  &lt;br/&gt;&lt;br/&gt;</t>
  </si>
  <si>
    <t>USA defense chief welcomes Saudi offer on troops in Syria  .  &lt;br/&gt;&lt;br/&gt;</t>
  </si>
  <si>
    <t>Putin meets Rivlin at Kremlin amid Russia's Syria disengagement  .  &lt;img height='80' width='100' align='right' src='http://www.jpost.com/HttpHandlers/ShowImage.ashx?id=</t>
  </si>
  <si>
    <t>USA senators weigh in on Egypt crisis talks  .  CAIRO - Two USA senators met Egyptian army chief General Abdel Fattah al-Sisi in Cairo on Thursday as</t>
  </si>
  <si>
    <t>Trump makes surprise Iraq visit, justifies Syria pullout  .  &lt;img height='80' width='100' align='right' src='https://images.jpost.com/image/upload/f_auto,fl_loss</t>
  </si>
  <si>
    <t>Total of deals signed between France, Iran worth 15 billion euros  .  &lt;br/&gt;&lt;br/&gt;</t>
  </si>
  <si>
    <t>Yemen's Houthis say missile fired at Saudi Arabia's Najran region  .  &lt;br/&gt;&lt;br/&gt;</t>
  </si>
  <si>
    <t>Iran’s allies in Iraq face complex choice amid increasing “airstrikes”  .  &lt;img height='80' width='100' align='right' src='https://images.jpost.com/image/upload/f_auto,fl_loss</t>
  </si>
  <si>
    <t>Iran says to explore with USA ways to speed up nuclear talks  .  &lt;img height='80' width='100' align='right' src='http://www.jpost.com/HttpHandlers/ShowImage.ashx?id=</t>
  </si>
  <si>
    <t>USA Navy ship steaming toward Haiti to support relief efforts  .  &lt;br/&gt;&lt;br/&gt;</t>
  </si>
  <si>
    <t>USA HTI</t>
  </si>
  <si>
    <t>Two Chinese workers kidnapped in Nigeria's Edo state - police  .  &lt;br/&gt;&lt;br/&gt;</t>
  </si>
  <si>
    <t>CHN NGA</t>
  </si>
  <si>
    <t>AUT</t>
  </si>
  <si>
    <t xml:space="preserve">Pogba, Dembele were racially abused in Russia friendly, sources reveal  .  During France's 3-1 victory over Russia, an AFP photographer heard monkey chants aimed at Barcelona </t>
  </si>
  <si>
    <t>Asia: Pigeon caught carrying drugs in bag attached to back  .  A pigeon was found carrying drugs in a small bag attached to its back in Kuwait, British media repor</t>
  </si>
  <si>
    <t>KWT GBR</t>
  </si>
  <si>
    <t xml:space="preserve">Business Beat: Japan stocks extend rally, upbeat data supports dollar  .  Japanese stocks rose to a fresh 15-year high on Friday with the dollar boosted by upbeat USA  data, </t>
  </si>
  <si>
    <t>Business: Firm posts record sugar production  .  Zambia Sugar, a unit of South Africa's Illovo Sugar said on Thursday it had posted record production</t>
  </si>
  <si>
    <t>ZMB ZAF</t>
  </si>
  <si>
    <t>Business: In Brief: Oil drops 5pc on Iran worries  .  Oil tumbled 5 per cent on Friday, erasing the previous session's gains, as Yemen's conflict looked l</t>
  </si>
  <si>
    <t>Why trade is a red herring in rising China-USA tensions  .  Like other Republican presidents, Trump is willing to project American power abroad.</t>
  </si>
  <si>
    <t>Africa: Zambia president receives medical treatment in Israel  .  Zambian President Michael Sata was receiving medical treatment in Israel on Thursday, an Israeli off</t>
  </si>
  <si>
    <t>ZMB ISR</t>
  </si>
  <si>
    <t>America: USA  sees mounting evidence of Houthi role in strike on USA  warship  .  The United States is seeing growing indications that Iran-allied Houthi rebels, despite denials, wer</t>
  </si>
  <si>
    <t xml:space="preserve">Asia: Islamic State says USA hostage killed in air strike in Syria  .  Islamic State said on Friday that an American woman hostage it was holding in Syria was killed when </t>
  </si>
  <si>
    <t>World: Boko Haram kills two soldiers in Cameroon  .  Gunmen from Nigeria's Boko Haram Islamist militant group killed two Cameroonian soldiers in fighting</t>
  </si>
  <si>
    <t>CMR NGA</t>
  </si>
  <si>
    <t>World: Millions flee inland as Southeast USA  braces for Hurricane Matthew  .  The fiercest Caribbean storm in nearly a decade slammed into the Bahamas early on Thursday and was e</t>
  </si>
  <si>
    <t>USA BHS</t>
  </si>
  <si>
    <t xml:space="preserve">Africa: French minister says CAR operation to last longer than expected  .  France's military operation in the Central African Republic will last longer than initially planned </t>
  </si>
  <si>
    <t>FRA CAF</t>
  </si>
  <si>
    <t>Business News: China's Xi arrives in Zimbabwe, expected to sign major deals  .  Chinese President Xi Jinping arrived in Zimbabwe on Tuesday, the first visit by a Chinese leader sin</t>
  </si>
  <si>
    <t>CHN ZWE</t>
  </si>
  <si>
    <t xml:space="preserve">World: Four French hostages freed in Niger  .  Four French hostages kidnapped in Niger in 2010 have been released, France's President Hollande has </t>
  </si>
  <si>
    <t xml:space="preserve">Iran lawmakers burn USA flag in Parliament  .  Iranian legislators burn USA flag in Parliament in protest of President Trump's decision to withdraw </t>
  </si>
  <si>
    <t>Washington turns down Iraqi call to remove troops  .  Trump says Iran had probably planned to attack the USA embassy in Baghdad when Soleimani was killed i</t>
  </si>
  <si>
    <t xml:space="preserve">China says will use all necessary means to defend interests against USA  trade probe  .  China will use all necessary means to defend the interests of the country and its companies against </t>
  </si>
  <si>
    <t>World: Protests in Hong Kong as top China official visits  .  Hong Kong protesters angry at a visit by a top Beijing official shouted pro-democracy slogans Wednes</t>
  </si>
  <si>
    <t>World: Egypt offers military training to Libya, cites Islamic State threat  .  Egypt has offered to train pro-government forces battling rival armed groups in Libya, stepping up e</t>
  </si>
  <si>
    <t>EGY LBY</t>
  </si>
  <si>
    <t xml:space="preserve">(no title)  .  A British woman who claimed she was gang raped in Cyprus has been arrested on suspicion of filing a </t>
  </si>
  <si>
    <t>GBR CYP</t>
  </si>
  <si>
    <t>Asia: War intensifies in Iraq  .  USA is considering all options except sending its military to tackle increased security threat in Ira</t>
  </si>
  <si>
    <t>World: United States says Burundi risks boiling over if political opposition stifled  .  A senior USA  diplomat told Burundi's President, Pierre Nkurunziza, on Thursday that the east Africa</t>
  </si>
  <si>
    <t>USA BDI</t>
  </si>
  <si>
    <t xml:space="preserve">Africa: UN's Mali envoy to quit after being named Dutch foreign minister  .  The head of the United Nations' mission in Mali is to quit to take up a new job as the Netherlands' </t>
  </si>
  <si>
    <t>MLI NLD</t>
  </si>
  <si>
    <t>Business: Kenya ranked 4th globally in list of countries worst hit by fraud  .  Kenya is ranked the 4th globally among countries worst hit by fraud behind Nigeria, Egypt and Namibi</t>
  </si>
  <si>
    <t>NGA EGY</t>
  </si>
  <si>
    <t xml:space="preserve">World: Trump to make trip to Mexico before immigration speech  .  USA  Republican presidential nominee Donald Trump will meet Mexican President Enrique Pena Nieto on </t>
  </si>
  <si>
    <t>Columns: Foreign nations duty-bound to keep their citizens informed of threats  .  Travel advisories by Western countries Â especially the United States and the United Kingdom Â inf</t>
  </si>
  <si>
    <t>World: USA state of Georgia executes a woman for the first time in 70 years  .  The USA state of Georgia executed its only woman on death row on Wednesday, marking the first time in</t>
  </si>
  <si>
    <t>South Sudan lawmakers quit budget presentation over unpaid public salaries  .  South Sudanese lawmakers stormed out of a budget presentation by the finance minister on Thursday, w</t>
  </si>
  <si>
    <t>Europe: UK's Cameron resists calls for air strikes despite hostage killing  .  Britain on Sunday resisted pressure to join the United States in announcing air strikes against Isla</t>
  </si>
  <si>
    <t>Opinion: Irony of USA , Obama pledge to help quell South Sudan crisis  .  Even as there are countless lessons from outcomes of Mid-East ÂArc of Crises', one worrisome situat</t>
  </si>
  <si>
    <t>USA SSD</t>
  </si>
  <si>
    <t xml:space="preserve">World: Top ISIS leader Abu Sayyaf killed by USA special forces in Syria  .  A senior Islamic State terrorist has been killed by elite American forces in a night time raid on a </t>
  </si>
  <si>
    <t>Sci &amp; Tech: Turkey urged to lift Twitter ban after court ruling  .  The USA  State Department called on Ankara to quickly lift a ban on Twitter after Turkey's top court</t>
  </si>
  <si>
    <t>World: East African leaders seek to break political deadlock in Burundi  .  East African leaders will hold a summit in Tanzania on May 13 aimed at breaking the political deadlo</t>
  </si>
  <si>
    <t>BDI TZA</t>
  </si>
  <si>
    <t>Kenya economy is third in sub-Saharan Africa  .  The country overtakes Angola to take third place behind leaders Nigeria and second-placed South Afri</t>
  </si>
  <si>
    <t>AGO NGA</t>
  </si>
  <si>
    <t>Shujaa drop vital points, yet again  .  Onyala hat-trick inspires Kenyans against Samoa before France leave Kenyans hurting.</t>
  </si>
  <si>
    <t>WSM FRA</t>
  </si>
  <si>
    <t>Kenya: Gachagua faces tough task convincing Nyeri coffee farmers to turn to China, USA markets  .  What started as a difference in opinion among coffee stakeholders in the agricultural rich Nyeri Cou</t>
  </si>
  <si>
    <t>Business: USA to review China intellectual property policies  .  Top USA trade official Robert Lighthizer said his office had determined that these critical issues m</t>
  </si>
  <si>
    <t xml:space="preserve">Kenya: Maize puzzle: Tough questions on food security, imports  .  Maize brought to the country from Mexico had been in waiting in stores in Durban, South Africa, for </t>
  </si>
  <si>
    <t>MEX ZAF</t>
  </si>
  <si>
    <t>Australia demands coronavirus enquiry, adding to pressure on China  .  Australia on Sunday added to growing pressure on China over its handling of the novel coronavirus, q</t>
  </si>
  <si>
    <t>AUS CHN</t>
  </si>
  <si>
    <t>Africa: Two Tanzanian UN peacekeepers killed in Congo ambush  .  Two United Nations peacekeepers from Tanzania were killed, 13 wounded and four were missing in easte</t>
  </si>
  <si>
    <t>COD TZA</t>
  </si>
  <si>
    <t>World: Qatar confirms holding Britons probing World Cup labour  .  Qatar has confirmed it is holding two British researchers who had been probing the labour conditions</t>
  </si>
  <si>
    <t>QAT GBR</t>
  </si>
  <si>
    <t>World: G20 commits to higher growth, fight climate change; Russia isolated over Ukraine  .  Leaders from the G20 group of nations agreed on Sunday to boost flagging global growth, tackle clima</t>
  </si>
  <si>
    <t>World: Dalai Lama says will visit Trump in move bound to anger China  .  Exiled Tibetan spiritual leader the Dalai Lama said on Wednesday that he would visit USA  President-</t>
  </si>
  <si>
    <t>digital videos : Italy reports 475 new coronavirus deaths in a day  .  Italy has reported an additional 475 deaths from the virus on Wednesday, and France imposed a dracon</t>
  </si>
  <si>
    <t>Business: Tanzania awards Sh882b rail projects to Chinese companies  .  Tanzania has awarded contracts to build new railway lines worth about $9 billion (Sh882b) to Chinese</t>
  </si>
  <si>
    <t>TZA CHN</t>
  </si>
  <si>
    <t>America: Trump signs order to start Mexico border wall project  .  USA President Donald Trump took a first step toward fulfilling his pledge to "build a wall" on the Me</t>
  </si>
  <si>
    <t xml:space="preserve">Business: South Africa's rand gains ahead of USA  jobs data, stocks firmer  .  South Africa's rand strengthened against the dollar on Monday in volatile trade as investors waited </t>
  </si>
  <si>
    <t>ZAF USA</t>
  </si>
  <si>
    <t>Europe: British PM Theresa May rejects petition to cancel state visit by USA President Donald Trump  .  British Prime Minister Theresa May formally rejected a petition Monday signed by nearly 2 million pe</t>
  </si>
  <si>
    <t>Morocco crush 10 man Nigeria 4-0 to win CHAN  .  Ayoub el Kaabi scored his ninth goal of the 2018 African Nations Championship (CHAN) as Morocco beca</t>
  </si>
  <si>
    <t>MAR NGA</t>
  </si>
  <si>
    <t xml:space="preserve">Total signs asset transfer deals with Qatar Petroleum  .  French oil major Total said it had signed deals to transfer some of its assets in Kenya, Guyana and </t>
  </si>
  <si>
    <t>QAT GUY</t>
  </si>
  <si>
    <t>Don't fall in love on Facebook, jailed man warns  .  Hamid Nehal Ansari illegally entered Pakistan from Afghanistan in 2012 to meet a woman he had fallen</t>
  </si>
  <si>
    <t>Business: Britam launches Rwanda operations  .  Financial services firm British-American Investments Company, Britam has launched operations in Rwan</t>
  </si>
  <si>
    <t>RWA GBR</t>
  </si>
  <si>
    <t>Business: INTERVIEW-Uganda says oil revenue possible alternative to Chinese cash for railway  .  Uganda could rely on income from future oil exports to finance an $8 billion railway if funding talk</t>
  </si>
  <si>
    <t>UGA CHN</t>
  </si>
  <si>
    <t xml:space="preserve">Rare black rhino dies en route to Tanzania  .  The male rhino was being kept at the Port Lympne Reserve in United Kingdom ahead of his transfer to </t>
  </si>
  <si>
    <t>TZA GBR</t>
  </si>
  <si>
    <t>China says more talks for Pakistan aid necessary  .  China will provide Pakistan with economic aid but more talks will take place to fix the details, a s</t>
  </si>
  <si>
    <t>Mid-East: Israel reins in military sweep for missing teens  .  Israel scaled back a search for three missing teenagers in the occupied West Bank on Tuesday after 1</t>
  </si>
  <si>
    <t xml:space="preserve">Africa: South Sudan 'wildcard' army worries UN  .  The UN has expressed concerns about thousands of South Sudanese youths - loyal to rebel leader Riek </t>
  </si>
  <si>
    <t>Opinion: Will Trump's risky gamble on Iran work this time round?  .  Tensions between Iran and the United States are escalating rapidly. Over the weekend, Iranian and US</t>
  </si>
  <si>
    <t>World: Obama: USA  will keep 'going after' al Qaeda-linked groups in Africa  .  President Barack Obama has staunchly defended his decision to order commando raids in Libya and Soma</t>
  </si>
  <si>
    <t>Africa: Sudans Bashir arrives in Khartoum from South Africa  .  Sudanese President Omar al-Bashir arrived in Khartoum from Johannesburg Monday, an AFP correspondent</t>
  </si>
  <si>
    <t>ZAF SDN</t>
  </si>
  <si>
    <t>Africa: Uganda losing business over anti-gay bill, USA warns  .  The United States has warned Uganda that its efforts to pass new anti-gay laws are damaging the econ</t>
  </si>
  <si>
    <t>Africa: Mugabe spends 90th birthday in Singapore  .  Zimbabwe President and Africa's oldest leader Robert Mugabe marked his 90th birthday receiving medic</t>
  </si>
  <si>
    <t>SGP ZWE</t>
  </si>
  <si>
    <t xml:space="preserve">Killer Japanese fungus found in Australia  .  Poison Fire Coral is the only known mushroom with toxins that can be absorbed through the skin, and </t>
  </si>
  <si>
    <t>JPN AUS</t>
  </si>
  <si>
    <t>Why Jose Gimenez cried during Uruguay's defeat to France in the World Cup quarter-finals  .  Gary Neville has been severely criticised for controversially labelling Jose Gimenez as 'embarrassin</t>
  </si>
  <si>
    <t>URY FRA</t>
  </si>
  <si>
    <t>World: Ebola still spreading in western Sierra Leone, Guinea's forest: U.N  .  Ebola is still spreading quickly in western Sierra Leone and deep in Guinea's forested region, a sen</t>
  </si>
  <si>
    <t>SLE GIN</t>
  </si>
  <si>
    <t>World: Turkish, coalition forces hit Islamic State targets in Syria, kill 27  .  Turkish and USA -led coalition forces struck Islamic State targets north of the Syrian city of Alepp</t>
  </si>
  <si>
    <t>Pogba stripped of France goal after Mourinho identifies the scorer  .  Paul Pogba has been stripped of the winner scored in France's 2-1 victory over Australia, with the e</t>
  </si>
  <si>
    <t>World: India summons USA envoy over spying claim  .  India summoned the top diplomat from the USA embassy Wednesday to complain for the third time about s</t>
  </si>
  <si>
    <t>IND USA</t>
  </si>
  <si>
    <t>Business: Tanzania secures $259 mln funding for power grid link with Kenya  .  Tanzania has secured $258.82 million from the African Development Bank and the Japan International C</t>
  </si>
  <si>
    <t>TZA JPN</t>
  </si>
  <si>
    <t>World: Polls open in Iraq parliamentary election  .  Polls opened Wednesday in Iraq's first parliamentary election since USA troops withdrew, with Prime M</t>
  </si>
  <si>
    <t>Lifestyle: Heroes who died in First World War mere footnotes  .  When an Austria-Hungary monarch, Archduke Franz Ferdinand and his wife were assassinated 99 years ag</t>
  </si>
  <si>
    <t>digital videos : "Tutatuma ndege Madagascar dawa ziletwe ...", Magufuli on COVID-19 containment measures in Tanzania  .  "Tutatuma ndege Madagascar dawa ziletwe ..." Magufuli on COVID-19 containment measures in Tanzania</t>
  </si>
  <si>
    <t>MDG TZA</t>
  </si>
  <si>
    <t>Business: Qatar Airways launches flights to Chengdu, China  .  Qatar Airways has expanded its operations in China with the launch of scheduled flights to Chengdu</t>
  </si>
  <si>
    <t>QAT CHN</t>
  </si>
  <si>
    <t>World : Bottomline Africa: Kenya,Djibouti USA  race  .  Bottomline Africa: Kenya,Djibouti USA  race</t>
  </si>
  <si>
    <t>DJI USA</t>
  </si>
  <si>
    <t>World: Boat sinks off Indonesia's Batam, killing at least 18  .  A boat carrying 96 people from Malaysia to Indonesia sank on Wednesday, killing at least 18, Indones</t>
  </si>
  <si>
    <t>Syria is 'sand and death,' Trump says  .  USA President Donald Trump on Wednesday offered a rather stark take on the situation in war-wracked S</t>
  </si>
  <si>
    <t>World: Irelands gay marriage vote was "a defeat": Vatican daily  .  The Irish vote in favour of gay marriage constitutes &amp;quot;a defeat&amp;quot; that highlights a gap betw</t>
  </si>
  <si>
    <t>VAT IRL</t>
  </si>
  <si>
    <t>World: Burkina Faso and Mali to coordinate forces after deadly attacks  .  Burkina Faso and Mali have agreed to work together to counter the growing threat of Islamic militant</t>
  </si>
  <si>
    <t>BFA MLI</t>
  </si>
  <si>
    <t>Opinion: Proper use of aid from China can transform economy  .  Reports from President Uhuru Kenyatta's visit to Russia and China suggest that Vision 2030 is nearer</t>
  </si>
  <si>
    <t>South Africa issues arrest warrant for Zimbabwe's Grace Mugabe  .  South Africa has issued an arrest warrant for Zimbabwe's former first lady Grace Mugabe over an alle</t>
  </si>
  <si>
    <t>World: Congo president Sassou Nguesso wins re-election - Interior Minister  .  Congo Republic President Denis Sassou Nguesso has won a new five-year term with 60.39 percent of the</t>
  </si>
  <si>
    <t xml:space="preserve">World: Austria plans to end measures allowing migrants from Hungary and move towards normality  .  Austria said on Sunday it planned to end emergency measures that have allowed thousands of refugees </t>
  </si>
  <si>
    <t>Trump administration plans to add Nigeria, Tanzania to travel ban list  .  Some countries will face bans only on some visa categories, the Wall Street Journal reported. The li</t>
  </si>
  <si>
    <t>NGA TZA</t>
  </si>
  <si>
    <t>Beware England! Falcao on fire as Colombia sends Poland home  .  Radamel Falcao helps South American side to victory as Poles crash out.</t>
  </si>
  <si>
    <t>COL POL</t>
  </si>
  <si>
    <t>World: Man jailed over threats to kill 200 people in Facebook post  .  A British man who threatened to kill 200 people in the USA in posts he made under a false name on Fac</t>
  </si>
  <si>
    <t>World: Chinese military denies role in reported USA  hacking  .  Chinas Defense Ministry on Friday denied that it had anything to do with a cyber-attack on Register.</t>
  </si>
  <si>
    <t>How Benin shocked Morocco to storm into AFCON quarters  .  10-man Benin pulled one of the biggest AFCON upsets after...</t>
  </si>
  <si>
    <t>BEN MAR</t>
  </si>
  <si>
    <t>Gabon arrests four military officers after coup attempt  .  Gabon's President Ali Bongo, 59, was hospitalized in October in Saudi Arabia after suffering a strok</t>
  </si>
  <si>
    <t>GAB SAU</t>
  </si>
  <si>
    <t>World: Iran warns Israel of Hezbollah rockets if attacked  .  A senior Iranian military official warned on Thursday that any Israeli attack would unleash a firest</t>
  </si>
  <si>
    <t>World: Zimbabwe opposition slams South Africa govt for blocking election report  .  Zimbabwe's main opposition leader Morgan Tsvangirai on Wednesday condemned the South African governm</t>
  </si>
  <si>
    <t>ZWE ZAF</t>
  </si>
  <si>
    <t>World: How DR Congo rebels make their money  .  A controversial UN report on the Democratic Republic of Congo has focussed attention on Rwanda's all</t>
  </si>
  <si>
    <t>COD RWA</t>
  </si>
  <si>
    <t>Asia: 'I felt liberated' - life after Islamic State  .  When USA -backed forces seized Souad Hamidi's village in northern Syria from Islamic State last week</t>
  </si>
  <si>
    <t>Asia: Hong Kong protesters detained after bid to stop China official  .  Hong Kong student pro-democracy leader Joshua Wong was among five protesters detained Thursday after</t>
  </si>
  <si>
    <t>World: ICC calls on Saudi Arabia to arrest Sudan President Bashir  .  The International Criminal Court (ICC) judges last week issued an order asking the Saudi Arabian aut</t>
  </si>
  <si>
    <t>SAU SDN</t>
  </si>
  <si>
    <t>World: Rwanda calls Congo 'crybaby' at U.N., Congo says Rwanda 'arrogant'  .  The U.N. Security Council stressed on Thursday that M23 rebels must be stopped from regrouping in De</t>
  </si>
  <si>
    <t>RWA COD</t>
  </si>
  <si>
    <t>Nairobi: Mobile phone prices likely to fall after China and USA strike key deal  .  A major deal struck at the ongoing World Trade Organisation meeting in Nairobi could see prices of m</t>
  </si>
  <si>
    <t>Kenya bid for UN seat gets boost as Africa pushes for more clout  .  Japan agrees to support Africa for at least two permanent seats at the USA curity Council.</t>
  </si>
  <si>
    <t xml:space="preserve">Trump criticizes GM for making cars in China  .  The United States slapped a 25 percent tariff on Chinese-made vehicles earlier this year, prompting </t>
  </si>
  <si>
    <t>World: Trump says 'major, major' conflict with North Korea possible, but seeks diplomacy  .  USA  President Donald Trump said on Thursday a major conflict with North Korea is possible in the st</t>
  </si>
  <si>
    <t>Kenya: Tourism partners laud single EAC tourist visa plan  .  Tourism stakeholders have welcomed the decision by Kenya, Uganda and Rwanda to fast track issuance o</t>
  </si>
  <si>
    <t>UGA RWA</t>
  </si>
  <si>
    <t>NAM</t>
  </si>
  <si>
    <t>GEO</t>
  </si>
  <si>
    <t>SDN</t>
  </si>
  <si>
    <t>SSD</t>
  </si>
  <si>
    <t>LBN</t>
  </si>
  <si>
    <t>Saudi Arabia detains 8 supporters of women activists – Sources  .   Saudi Arabia has arrested at least eight people, including two dual USA -Saudi citizens, in an appa</t>
  </si>
  <si>
    <t xml:space="preserve">Terror list: Sudan, USA  to hold more talks  .   Sudan said on Thursday it had reached agreement with the USA  on a second phase of talks aimed at </t>
  </si>
  <si>
    <t>SDN USA</t>
  </si>
  <si>
    <t xml:space="preserve">Algeria coach admits Eagles will be difficult  .  Algeria coach Milovan Rajevac has expressed his disappointment at his side’s 1-1 draw with Cameroon </t>
  </si>
  <si>
    <t>DZA CMR</t>
  </si>
  <si>
    <t>Photos: Jubilations after Ronaldo’s Portugal beat France 1-0 in Euro 2016 final  .  The post Photos: Jubilations after Ronaldo’s Portugal beat France 1-0 in Euro 2016 final appeared fi</t>
  </si>
  <si>
    <t>Gambia&amp;#8217;s President, Yahaya Jammeh incommunicado, says Ban Ki-Moon  .  Embattled President Yahya Jammeh of Gambia has been unreachable by phone. USA cretary-General Ban K</t>
  </si>
  <si>
    <t>Niger’s Issoufou agrees with Talon: lockdowns are not Africa-friendly  .  Niger President Mahamadou Issoufou and his Benin counterpart, Patrice TalonNiger President Mahamado</t>
  </si>
  <si>
    <t>NER BEN</t>
  </si>
  <si>
    <t>Juanmi called into Spain squad for injured Costa  .  Malaga forward Juanmi has been called into the Spain squad for upcoming games against Ukraine and th</t>
  </si>
  <si>
    <t>ESP UKR</t>
  </si>
  <si>
    <t>Russia see Egypt as biggest World Cup threat  .  One of the architects of Russia's World Cup bid thinks the host nation's upcoming clash against Moha</t>
  </si>
  <si>
    <t>Oil bounces on Saudi-Russian pledge to steady prices  .  Oil rallied by up to five percent on Monday as top global producers Russia and Saudi Arabia vowed to</t>
  </si>
  <si>
    <t>Diouf mocks absentee Matip, others  .  Former Senegal striker El-Hadji Diouf has mocked Cameroon players who turned their backs on the nati</t>
  </si>
  <si>
    <t>SEN CMR</t>
  </si>
  <si>
    <t>Evaluating Super Eagles readiness for Russia 2018 World Cup  .  When the Super Eagles of Nigeria file out on June 16 against the Vatreni of Croatia at the 2018 FIFA</t>
  </si>
  <si>
    <t>RUS HRV</t>
  </si>
  <si>
    <t xml:space="preserve">Germany Vs Argentina: Di Maria on bench  .  Germany and Argentina named unchanged teams for Sunday's World Cup final at the Maracana stadium in </t>
  </si>
  <si>
    <t>Moses, Mikel, Balogun back for Cameroon — Rohr  .  Coach Gernot Rohr has said skipper Mikel Obi, Chelsea star Victor Moses and Germany-based defender L</t>
  </si>
  <si>
    <t>CMR DEU</t>
  </si>
  <si>
    <t>&amp;#8220;Mental strength helped Super Eagles against Morocco&amp;#8221;  .  Cape Town (South Africa) &amp;#8211; The Nigerian Union in Western Cape, South Africa on Sunday describe</t>
  </si>
  <si>
    <t>MAR ZAF</t>
  </si>
  <si>
    <t>USA ambassador flees teargas at Malawi election protest  .  The USA ambassador to Malawi was on Thursday forced to hurriedly leave the main opposition party's he</t>
  </si>
  <si>
    <t>USA MWI</t>
  </si>
  <si>
    <t>Prof Akpata’s Sand, Sun and Surprises unveiled in Lagos  .  AFTER over 23 years of living and working in the Middle East (Saudi Arabia and Kuwait) Professor Eno</t>
  </si>
  <si>
    <t>SAU KWT</t>
  </si>
  <si>
    <t>Oliseh tips Ndidi, Iwobi to shine at Russia 2018  .  Former Super Eagles captain and coach, Sunday Oliseh said Wilfred Ndidi and Alex Iwobi are two Niger</t>
  </si>
  <si>
    <t>RUS NER</t>
  </si>
  <si>
    <t xml:space="preserve">Olashore, Ireland sign MoU on pre-medical programme  .  In its bid to give her students more options to study in the UK and Ireland, Olashore International </t>
  </si>
  <si>
    <t>S/ Africa&amp;#8217;s U-20 fire Ghana warning  .  South Africa’s crack squad for the 2015 CAF African Youth Championships next month will cause proble</t>
  </si>
  <si>
    <t>GHA ZAF</t>
  </si>
  <si>
    <t>AFCON: Egypt qualify for Africa Cup quarter-finals  .  Egypt qualified for the Africa Cup of Nations quarter-finals Wednesday with a 1-0 victory over Ghana</t>
  </si>
  <si>
    <t>Iran tests more ballistic missiles capable of reaching Israel  .  Iran's Islamic Revolutionary Guards Corps (IRGC) test-fired two ballistic missiles on Wednesday morn</t>
  </si>
  <si>
    <t>Mexico arrives as Nigeria top seeding in men’s doubles  .  Mexico became the first country to arrive Lagos for the ITTF Premier Lotto Nigeria Open, as France-b</t>
  </si>
  <si>
    <t>MEX FRA</t>
  </si>
  <si>
    <t>France against negotiating Customs duties with USA  .  French Government does not want to engage in negotiations on customs duties with the USA , Jean-Bapt</t>
  </si>
  <si>
    <t>British architects to design Qatar World Cup final stadium  .  Renowned British architects Foster and Partners was named on Monday as the designer of the stadium t</t>
  </si>
  <si>
    <t>USA  slams Sudan over failure to beef up human rights record  .  The USA  said on Friday it was “very concerned” about Sudan’s human rights record, which was suppose</t>
  </si>
  <si>
    <t>USA SDN</t>
  </si>
  <si>
    <t>USA says China must pay $2 bn WHO pledge  .  The United States on Monday said China must pay more than the two billion dollars it committed to t</t>
  </si>
  <si>
    <t xml:space="preserve">Senegal set ball rolling against South Africa  .  Hosts Senegal and South Africa will set the ball rolling when they cross paths in the opening match </t>
  </si>
  <si>
    <t>SEN ZAF</t>
  </si>
  <si>
    <t xml:space="preserve">USA  drone strike kills three militants in Pakistan  .   USA  drone killed three suspected militants in north-western Pakistan on Wednesday, the first such </t>
  </si>
  <si>
    <t>Van Persie, Tosic suspended after Istanbul derby fracas  .  Turkey&amp;#8217;s football federation on Thursday suspended Fenerbahce&amp;#8217;s star Dutch striker Robin</t>
  </si>
  <si>
    <t>TUR NLD</t>
  </si>
  <si>
    <t>US, Arab allies warplanes bomb IS jihadists in Syria  .  USA and Arab warplanes hammered Islamic State militants in eastern Syria early Tuesday, opening a new</t>
  </si>
  <si>
    <t>BREAKING: Cameroon beat Ghana to reach Cup of Nations final  .  Michael Ngadeu and Christian Bassogog both netted in the second half as Cameroon beat Ghana 2-0 in F</t>
  </si>
  <si>
    <t>CMR GHA</t>
  </si>
  <si>
    <t>FG set to evacuate more Nigerians from USA July 3  .  Minister of Foreign affairsThe Federal Government has concluded arrangements to evacuate more Niger</t>
  </si>
  <si>
    <t>South Korea to ship coronavirus tests to USA this week: report  .  South Korean firms will make their first shipment of coronavirus tests to the United States this we</t>
  </si>
  <si>
    <t>Honduras aiming to provoke another Swiss miss  .  Switzerland have a chance to put right their dramatic failure of 2010 on Wednesday when they again f</t>
  </si>
  <si>
    <t>HND CHE</t>
  </si>
  <si>
    <t>Breaking: Russia detains American in Moscow over espionage  .  Russia has detained a USA citizen in Moscow accused of spying, the FSB security service said on Monda</t>
  </si>
  <si>
    <t>USA mayor Taylor on leave from office killed in Afghanistan  .  Brent Taylor, the mayor of North Ogden, Utah in the United States was killed Saturday on military du</t>
  </si>
  <si>
    <t>France, Germany gang up against Trump  .  France and Germany have formed a united front against President Donald Trump following the announcem</t>
  </si>
  <si>
    <t>Obama vows to &amp;#8216;redouble&amp;#8217; fight against Islamic State jihadists  .  USA President Barack Obama vowed Sunday to stand by France in hunting down the Paris attackers and to</t>
  </si>
  <si>
    <t>Britain&amp;#8217;s queen joins royal Invictus Games challenge to Obamas  .  When USA President Barack Obama and First Lady Michelle Obama challenged Britain's Prince Harry on so</t>
  </si>
  <si>
    <t>He’s back – Paulinho goes from Barca to World Cup to Guangzhou  .  Brazil's Paulinho swaps the World Cup and Barcelona for the Chinese Super League this week as he ret</t>
  </si>
  <si>
    <t>We&amp;#8217;ll attack USA mercilessly if you strike us, North Korea threatens Trump  .  North Korea is in sabre-rattling mode, threatening the United States  of “merciless” attacks if an a</t>
  </si>
  <si>
    <t xml:space="preserve">Ramaphosa thanks PM May for returning sunken WWI ship’s bell  .  President Cyril Ramaphosa of South africa on Tuesday thanked British Prime Minister Theresa May for </t>
  </si>
  <si>
    <t>ZAF GBR</t>
  </si>
  <si>
    <t>Confed Cup: Mexico wary of Germany&amp;#8217;s young guns  .  Mexico coach Juan Carlos Osorio warned against underestimating a youthful Germany in Thursday&amp;#8217;</t>
  </si>
  <si>
    <t>MEX DEU</t>
  </si>
  <si>
    <t>China complains to Sweden as tourists &amp;#8216;brutally&amp;#8217; ejected from hotel  .  China has lodged a diplomatic complaint accusing Swedish police of treating Chinese tourists "brutal</t>
  </si>
  <si>
    <t>CHN SWE</t>
  </si>
  <si>
    <t>Ighalo sets mind on March 1 derby against SIPG  .  Shanghai Greenland Shenhua of China striker, Odion Jude Ighalo has set his mind fully on getting his</t>
  </si>
  <si>
    <t>GRL CHN</t>
  </si>
  <si>
    <t>Dozens of USA  oil workers leaving Iraq after air strike  .  Expatriate oil workers are seen leaving Iraq at the Basra Airport, Iraq January 3, 2020. REUTERS/St</t>
  </si>
  <si>
    <t>Militants kill five peacekeepers in northern Mali  .  "Five peacekeepers from Burkina Faso were killed on Thursday between Timbuktu and Goundam, during an</t>
  </si>
  <si>
    <t>MLI BFA</t>
  </si>
  <si>
    <t>FG, NYSC rise against killings in Rivers; UK, USA condemn violence  .  THE National Youth Service Corps, NYSC, has threatened to review its collaboration with the Independ</t>
  </si>
  <si>
    <t>France fights back over USA  tariff threat to Champagne, cheese  .  France and the European Union said on Tuesday they were ready to retaliate if USA  President Donald</t>
  </si>
  <si>
    <t>Indonesia aerobatic planes crash in Malaysia, pilots safe  .  Indonesian aerobatics team collided and crashed on Sunday during a practice session before an air sh</t>
  </si>
  <si>
    <t xml:space="preserve">Blatter allegations on Qatar World Cup &amp;#8216;unfounded&amp;#8217;— France  .  France said on Friday that comments by FIFA president Sepp Blatter that French pressure contributed </t>
  </si>
  <si>
    <t>QAT FRA</t>
  </si>
  <si>
    <t>Trump to pull half of USA troops from Afghanistan  .  USA President Donald Trump has decided to pull about 7,000 troops from Afghanistan, a USA official sai</t>
  </si>
  <si>
    <t>S-H-O-C-K-E-R-! 12 die celebrating Algeria’s World Cup qualification  .  Celebrations for Algeria’s victory over Burkina Faso that sent the country’s soccer team to the 2014</t>
  </si>
  <si>
    <t>DZA BFA</t>
  </si>
  <si>
    <t>Breaking: USA  launches 50 missiles  against Syria  .  The USA  has launched a military strike on an airbase in Syria, a USA  official has confirmed. The o</t>
  </si>
  <si>
    <t>Germany v Ukraine starting line-ups  .  Starting line-ups in the Euro 2016 Group C match between Germany and Ukraine at Stade Pierre-Mauroy,</t>
  </si>
  <si>
    <t>Russia may respond to shooting from Ukraine &amp;#8211;  Lavrov  .  Russia warned Friday it may respond if cross-border shooting from Ukraine continues, sharply raising</t>
  </si>
  <si>
    <t>Johnson puts $18.5bn price tag on bridge linking Scotland to N/Ireland – Reports  .  UK Prime Minister Boris Johnson told schoolchildren that it “would be very good” to build a bridge f</t>
  </si>
  <si>
    <t xml:space="preserve">USA condemns Boko Haram attack in Niger  .  The United States Government, on Tuesday condemned Boko Haram’s June 3 attack on a military outpost </t>
  </si>
  <si>
    <t>Sweden’s Kalla wins first gold medal of 2018 Winter Olympics  .  Pyeongchang (South Korea) &amp;#8211; Charlotte Kalla of Sweden has won the first gold medal at the 2018</t>
  </si>
  <si>
    <t>Obaseki rallies behind Georgia Oboh on British open qualification  .  The Edo State Governor, Mr. Godwin Obaseki, has charged Nigeria’s golf prodigy, Georgia Oboh, to qua</t>
  </si>
  <si>
    <t>GEO GBR</t>
  </si>
  <si>
    <t xml:space="preserve">AAG: Forget Congo 2015, Zambian coach tells Siasia  .  Nigeria’s Under-23 coach Samson Siasia is hopeful of beating Zambia in the second leg qualifier for </t>
  </si>
  <si>
    <t>COD ZMB</t>
  </si>
  <si>
    <t>France vs Australia : We &amp;#8220;must do better&amp;#8221; after escaping a humiliating, Deschamps warns  .  France vs Australia : Didier Deschamps has told France they "must do better" after escaping a humili</t>
  </si>
  <si>
    <t>Zambia&amp;#8217;s white president says his blood is black  .  Guy Scott, the first white person to rule Zambia since independence from Britain in 1964, said thoug</t>
  </si>
  <si>
    <t>ZMB GBR</t>
  </si>
  <si>
    <t>Nigeria, USA agree on security strategy  .  Nigeria, USA agree on security strategy is a news article from: Vanguard News The United States-Niger</t>
  </si>
  <si>
    <t xml:space="preserve">Trump calls World Health Organisation ‘puppet of China’  .  USA President Donald Trump answers questions from reporters during a event about protecting seniors, </t>
  </si>
  <si>
    <t xml:space="preserve">FIFA U-17 Cup: Nigeria faces Iran in second round Tuesday  .  The line-up for the second round of the 2013 FIFA U-17 World Cup in the UAE was completed on Friday </t>
  </si>
  <si>
    <t>USA preme Court hears Nigerian communities’ case against Shell  .  Shell Petroleum Development CompanyBy Udeme Akpan with Agency ReportTHE United Kingdom&amp;#8217;s Sup</t>
  </si>
  <si>
    <t>BREAKING: France beat Uruguay 2-0 to reach World Cup semi-finals  .  France beat Uruguay 2-0 to reach World Cup semi-finalsThe post BREAKING: France beat Uruguay 2-0 to</t>
  </si>
  <si>
    <t>Japan Navy keeps plan for Mideast deployment amid Iran tension  .  Navy warshipJAPAN will proceed with a previously planned naval deployment to the Middle East despi</t>
  </si>
  <si>
    <t>JPN IRN</t>
  </si>
  <si>
    <t>North Korea diplomat wanted over Kim killing: Malaysia  .  Detectives probing the assassination of Kim Jong-Un&amp;#8217;s half-brother want to question a North Ko</t>
  </si>
  <si>
    <t xml:space="preserve">Defending Champions Germany, England qualify for 2018 World Cup  .  Defending champions Germany secured their place at next year&amp;#8217;s World Cup in Russia with a 3-1 </t>
  </si>
  <si>
    <t>Ghana must beat  Egypt 3-0 to qualify – Siasia  .  Former Super Eagles coach Samson Siasia says Ghana must score at least three goals without conceding</t>
  </si>
  <si>
    <t>GHA EGY</t>
  </si>
  <si>
    <t>Iraq warns USA ties at stake after deadly strikes  .  Iraq’s government warned Monday that its relations with the United States were at risk after deadl</t>
  </si>
  <si>
    <t>Russia says goal of defeating IS in Syria &amp;#8216;accomplished&amp;#8217;  .  Russia&amp;#8217;s defence ministry on Thursday said its mission to oust Islamic State jihadists from Sy</t>
  </si>
  <si>
    <t>Video replay in spotlight as Chile edge Cameroon in Confederations Cup  .  Arturo Vidal&amp;#8217;s late header helped Chile to a 2-0 win over Cameroon in their Confederations Cup</t>
  </si>
  <si>
    <t>CHL CMR</t>
  </si>
  <si>
    <t>Chinese, other enterprises urged to invest in NW Zambia  .  Chinese enterprises, among other international investors, have been urged to take advantage of the N</t>
  </si>
  <si>
    <t>CHN ZMB</t>
  </si>
  <si>
    <t>Madagascar officials for Eagles,  Malawi  .  Madagascar officials for Eagles,  Malawi is a news article from: Vanguard News World football-govern</t>
  </si>
  <si>
    <t>MDG MWI</t>
  </si>
  <si>
    <t xml:space="preserve">Britain and the USA on  Laptop, tablet bans on flights: What we know  .  Britain and the USA on Tuesday banned laptops and tablet computers from the passenger compartment of </t>
  </si>
  <si>
    <t>Woman detained, investigated in Kosovo for urging revenge over Iran  .  Qasem Soleimani, commander of the elite Quds Force of the Iranian Revolutionary Guards Corps (IRGC)</t>
  </si>
  <si>
    <t>KOS IRN</t>
  </si>
  <si>
    <t>All eyes on Tillerson&amp;#8217;s debut at G20 in Germany  .  USA Secretary of State Rex Tillerson made his diplomatic debut at a G20 gathering in Germany on Thurs</t>
  </si>
  <si>
    <t>Japan to invest $1Bn in Lagos mono rail project  .  France and Japanese Government have earmarked the sum of $1 billion about N197 billion for the const</t>
  </si>
  <si>
    <t>Ethiopian maestros ready for Eagles  .  Arsenal coach Arsene Wenger challenged British reporters in January to name five members of Ethiopia</t>
  </si>
  <si>
    <t>GBR ETH</t>
  </si>
  <si>
    <t>Russia expels 23 British diplomats, shuts Council, Consulate  .  Russia said Saturday it would expel 23 British diplomats and close a British consulate following Lon</t>
  </si>
  <si>
    <t>India, Pakistan troops in serious gun battle  .  India and Pakistan troops on Tuesday exchanged fire and targeted each other’s positions on Line of C</t>
  </si>
  <si>
    <t>Britain &amp;#8216;strongly condemns&amp;#8217; N. Korea rocket launch  .  Britain strongly condemned North Korea's launch of a long-range rocket on Sunday and warned of a "ro</t>
  </si>
  <si>
    <t>GBR PRK</t>
  </si>
  <si>
    <t>Costa Rica fairytale faces Dutch reckoning  .   The irresistible fairytale of Costa Rica faces a day of reckoning against Louis van Gaal's hard, ca</t>
  </si>
  <si>
    <t>World Cup miracle beckons for Syria, China  .  War-torn Syria as well as China, the ultimate sleeping giants, are both aiming to pull off a near-mi</t>
  </si>
  <si>
    <t>SYR CHN</t>
  </si>
  <si>
    <t xml:space="preserve">Asia champs on the lead against Brazilain Flamingoes  .  Asia champions, Al Hilal of Saudi Arabia are leading South American champions, Flamingoes of Brazil </t>
  </si>
  <si>
    <t>SAU BRA</t>
  </si>
  <si>
    <t>No decision yet on whether to impose new sanctions on Russia – Bolton  .  The USA  has not decided on whether it would impose additional sanctions on Russia, USA  National Se</t>
  </si>
  <si>
    <t>S/ Sudan: Ceasefire talks delayed  .  Face-to-face talks between warring parties in South Sudan have been delayed, government and rebel de</t>
  </si>
  <si>
    <t>Two rockets hit Iraqi capital&amp;#8217;s Green Zone ― Security sources  .  Protesters shout slogans against the United States and Israel as they hold posters with the image o</t>
  </si>
  <si>
    <t>I am not a tax dodger, says Ronaldo  .  Real Madrid and Portugal football star, Cristiano Ronaldo, told a Spanish judge Monday that he has “</t>
  </si>
  <si>
    <t>FIFA U-17 World Cup: Draw specialists Canada hold Iran  .  Canada’s 1-1 draw against Iran in Group E of the FIFA U-17 World Cup in Dubai is their fourth on the</t>
  </si>
  <si>
    <t>CAN IRN</t>
  </si>
  <si>
    <t>Ikeme tips Eagles to shine against Mali, Luxembourg  .  Wolverhampton Wanderers goalkeeper Carl Ikeme has said Nigeria will get good results against Mali an</t>
  </si>
  <si>
    <t>MLI LUX</t>
  </si>
  <si>
    <t>Belgium take outright top spot in new FIFA rankings  .  Belgium have edged ahead of France to take outright top spot in FIFA’s world rankings released on Th</t>
  </si>
  <si>
    <t>Brazil embassy move to Jerusalem a question of &amp;#8216;when&amp;#8217; not &amp;#8216;if&amp;#8217; &amp;#8211; Netanyahu  .  Brazil will definitely move its embassy in Israel to Jerusalem, with only the date of the transfer t</t>
  </si>
  <si>
    <t>BRA ISR</t>
  </si>
  <si>
    <t>French First Lady to meet lesbian couple in South Africa  .  France's First Lady Valerie Trierweiler will meet a lesbian couple in South Africa on Monday, the fi</t>
  </si>
  <si>
    <t xml:space="preserve">Research: How a war between USA and Russia would kill 34 million in hours  .  Researchers have developed a terrifying simulation that shows how an escalating nuclear war between </t>
  </si>
  <si>
    <t>Germany beat Italy 6-5 on penalties in Euro 2016 quarter-final  .  Germany beat Italy 6-5 on penalties in Euro 2016 quarter-finalThe post Germany beat Italy 6-5 on pe</t>
  </si>
  <si>
    <t>DEU ITA</t>
  </si>
  <si>
    <t>North Korea says it’s running out of patience with USA  .  North Korea says it’s running out of patience with the United States over what it described as hosti</t>
  </si>
  <si>
    <t>Shell-shocked NZ to be aggressive against BD  .  &lt;p&gt;WELLINGTON: A thrashing at the hands of Australia had been a salutary lesson for New Zealand capt</t>
  </si>
  <si>
    <t>Sri Lanka name squad for NZ Tests  .  COLOMBO: Batsman Lahiru Thirimanne has been recalled into Sri Lanka&amp;rsquo;s Test squad, with wicketk</t>
  </si>
  <si>
    <t>LKA NZL</t>
  </si>
  <si>
    <t>USA , India pledge deeper security and commercial ties  .  &lt;p&gt;&lt;strong&gt;NEW DELHI: The United States and India pledged on Tuesday to deepen security and commerci</t>
  </si>
  <si>
    <t>Dutch gold reserves up  .  SINGAPORE: The Netherlands raised its gold holdings for the first time in 16 years in December, whil</t>
  </si>
  <si>
    <t>NLD SGP</t>
  </si>
  <si>
    <t xml:space="preserve">Chinas Chen, Lin dominate Malaysia Open  .  KUALA LUMPUR: World champion Chen Long of China was on top form as he stormed into the second round </t>
  </si>
  <si>
    <t xml:space="preserve">Adios Spain as Champions crash out of World Cup  .  BELO HORIZONTE, Brazil: Holders Spain crashed humiliatingly out of the World Cup on Wednesday after </t>
  </si>
  <si>
    <t>ESP BRA</t>
  </si>
  <si>
    <t>Mexican drug boss Â´ChapoÂ´ moved to jail on USA border  .  &lt;p&gt;&lt;strong&gt;MEXICO CITY: Mexican drug boss Joaquin ""El Chapo"" Guzman was moved on Saturday from a j</t>
  </si>
  <si>
    <t>Modric ready to remind Spain of his enduring class  .  MADRID: Dejan Lovren was probably right in saying that if Luka Modric played for Spain or Germany he</t>
  </si>
  <si>
    <t>ESP DEU</t>
  </si>
  <si>
    <t xml:space="preserve">SA clinch Qatar International Womens title  .  KARACHI: South Africa recorded a four-wicket victory against Pakistan in the summit clash to clinch </t>
  </si>
  <si>
    <t>Vatican envoy to France under investigation for sexual assault  .  PARIS: The Vatican&amp;rsquo;s envoy to France is being investigated for sexual assault after he was acc</t>
  </si>
  <si>
    <t>VAT FRA</t>
  </si>
  <si>
    <t>Cilic bundled out of Japan Open  .  TOKYO: Top seed Marin Cilic crashed out of the Japan Open in a shock 3-6, 6-4, 7-6 defeat to Germany</t>
  </si>
  <si>
    <t>?Shah should train in Iran or Russia?  .  KARACHI: Pakistan&amp;rsquo;s judo coach Sajjad Kazmi said on Friday that the country&amp;rsquo;s Olympic ho</t>
  </si>
  <si>
    <t>Williams, Halep enjoy opening wins at WTA Finals  .  SINGAPORE: Serena Williams shook off the rust and a feisty challenge from Serbia s Ana Ivanovic to o</t>
  </si>
  <si>
    <t>SGP SRB</t>
  </si>
  <si>
    <t>HK pro-democracy ‘sins’ fuel boycott calls in China  .  BEIJING: Companies are getting caught in the cross-fire of Hong Kong&amp;rsquo;s pro-democracy unrest, w</t>
  </si>
  <si>
    <t>Shakib leads Bangladesh to series win over Zimbabwe  .  KHULNA, Bangladesh: Shakib Al Hasan became only the third player in history to score a century and t</t>
  </si>
  <si>
    <t>BGD ZWE</t>
  </si>
  <si>
    <t xml:space="preserve">Ebola fears headline 2014 for African football  .  ABUJA: Ebola caused the 2015 African Nations Cup to be moved from Morocco to Equatorial Guinea in a </t>
  </si>
  <si>
    <t>MAR GNQ</t>
  </si>
  <si>
    <t>Doctor from Yemen wins Hungarians hearts  .  GYULA, Hungary: Abdulrahman Abdulrab Mohamed sometimes cooks Hungarian beef stew, his favourite dish</t>
  </si>
  <si>
    <t>YEM HUN</t>
  </si>
  <si>
    <t>Gun found in FedEx package sent from USA to China  .  BEIJING: Chinese authorities have found at least one firearm in a FedEx package sent from the US, lo</t>
  </si>
  <si>
    <t>Russia cannot replace USA in Mideast: Mattis  .  MANAMA: Pentagon chief Jim Mattis told Arab leaders on Saturday that Russia is no replacement for th</t>
  </si>
  <si>
    <t>Emerging bond issuance booms  .  LONDON: Shrugging off fears over the Fed, Russia and a default in Argentina, emerging market borrowe</t>
  </si>
  <si>
    <t>RUS ARG</t>
  </si>
  <si>
    <t>India says will not scrap French jet deal  .  NEW DELHI: India has vowed to stand firm on a multi-billion dollar deal to buy warplanes from France</t>
  </si>
  <si>
    <t>IND FRA</t>
  </si>
  <si>
    <t>Fus China are one win from Asian Cup spot  .  SINGAPORE: China can put a lacklustre qualifying campaign behind them and write more positive headli</t>
  </si>
  <si>
    <t>CHN SGP</t>
  </si>
  <si>
    <t>South Africa, SL captains get one-match suspension  .  CHITTAGONG: Sri Lanka captain Dinesh Chandimal and South Africa skipper Faf du Plessis were suspende</t>
  </si>
  <si>
    <t>ZAF LKA</t>
  </si>
  <si>
    <t xml:space="preserve">Obama arrives in Saudi Arabia for summit  Â   .  RIYADH: USA President Barack Obama arrived in Saudi Arabia&amp;acute;s capital Riyadh on Wednesday for a </t>
  </si>
  <si>
    <t>Gut wins Lake Louise super-G  .  LAKE LOUSA , Canada: Switzerland´s Lara Gut won a women´s alpine World Cup super-G on Sunday as Amer</t>
  </si>
  <si>
    <t>CAN CHE</t>
  </si>
  <si>
    <t>Palestinian rocket attack on Israeli city draws Gaza air strikes  .  GAZA: A rocket fired from the Gaza Strip hit a house in the largest city in southern Israel early on</t>
  </si>
  <si>
    <t>Bomb kills 25 rebels in Syria  .  &lt;p&gt;&lt;/p&gt;&lt;p&gt;BEIRUT/AMMAN: A bomb claimed by Islamic State at a Syria-Turkey border crossing killed a</t>
  </si>
  <si>
    <t>Kiev urges Moscow to let doctors see hunger-striker  .  KIEV: Ukraine urged Russia on Sunday to allow foreign doctors to visit film director Oleg Sentsov, w</t>
  </si>
  <si>
    <t xml:space="preserve">All business  .  China and India are in the delicate position of vying with each other for superiority in the region </t>
  </si>
  <si>
    <t>China commodity imports show stockpiling  .  LAUNCESTON, Australia: It s getting harder to pull together a convincing, all-encompassing narrative</t>
  </si>
  <si>
    <t>CHN AUS</t>
  </si>
  <si>
    <t>Disappointing business survey intensifies world growth fears  .  LONDON: Signs China s economic slowdown is deepening and weak growth in Europe and the USA reported</t>
  </si>
  <si>
    <t>Traders likely to shift United States for cotton imports  .  &lt;p&gt;&lt;/p&gt;&lt;p&gt;KARACHI: The USA is likely to replace India as the major exporter of cotton to Pakistan i</t>
  </si>
  <si>
    <t>Investors warm to China after last year?s warnings  .  &lt;p&gt;&lt;/p&gt;&lt;p&gt;HONG KONG/LONDON: One year on from dire warnings that China&amp;acute;s ballooning corporate</t>
  </si>
  <si>
    <t>Russian spy chief met USA officials in USA last week  .  &lt;p&gt;WASHINGTON:  Russia’s foreign spy chief, who is under USA sanctions, met last week outside Washing</t>
  </si>
  <si>
    <t>Diplomacy to defuse India, China border crisis slams into a wall  .  &lt;img src=""https://www.thenews.com.pk/assets/uploads/akhbar/2017-08-09/l_222295_032054_print.jpg""/&gt;</t>
  </si>
  <si>
    <t>Pakistani doctors now wait for Egypt to open border crossing  .  KarachiAs the Israeli aggression in Gaza continues and the casualties keep piling up, a team of do</t>
  </si>
  <si>
    <t>Brain drain  .  Pakistan is full of talent, but this talent is being utilised in other countries like the UK, Canada</t>
  </si>
  <si>
    <t>Nigeria stripped of soccer record  .  &lt;p&gt;ABUJA: Nigeria lost their unbeaten World Cup qualifying record on Tuesday as FIFA awarded Algeria</t>
  </si>
  <si>
    <t>NGA DZA</t>
  </si>
  <si>
    <t>Windies continue to stretch lead  .  PORT OF SPAIN: West Indies strengthened their hold on the second Test against New Zealand on Wednesd</t>
  </si>
  <si>
    <t>ESP NZL</t>
  </si>
  <si>
    <t xml:space="preserve">Qatar, France sign WC security deal  .  DOHA: Qatar and France signed on Thursday a World Cup security agreement signed in Doha following a </t>
  </si>
  <si>
    <t>Key facilitator of Chinese consulate attack arrested in UAE  .  KARACHI: A key-facilitator-cum-handler of the Chinese Consulate attack in Karachi was arrested by th</t>
  </si>
  <si>
    <t>CHN ARE</t>
  </si>
  <si>
    <t xml:space="preserve">USA fund accuses Samsung of foul play over stock sale  .  SEOUL: USA hedge fund Elliott urged a South Korean court Friday to approve an injunction against the </t>
  </si>
  <si>
    <t>Ewan clinches Giro eighth stage  .  PESARO, Italy: Australia&amp;rsquo;s Caleb Ewan celebrated wildly after storming a bunch sprint to win s</t>
  </si>
  <si>
    <t>ITA AUS</t>
  </si>
  <si>
    <t>Kuwait quizzes IS suspect deported from Philippines  .  &lt;p&gt;&lt;/p&gt;&lt;p&gt;KUWAIT CITY: Kuwait was set to begin questioning on Tuesday of a suspected Islamic State</t>
  </si>
  <si>
    <t>KWT PHL</t>
  </si>
  <si>
    <t>Dealmakers turn sights to USA billboards  .  NEW YORK: Billboards, which trace their roots to ancient Egypt, are set to generate a boom in USA dea</t>
  </si>
  <si>
    <t>USA president ready to meet Rouhani  .  BIARRITZ, France: USA President Donald Trump said on Monday he was prepared to meet his Iranian count</t>
  </si>
  <si>
    <t>USA ready to play to win FIFA World Cup 2014  .  WASHINGTON: America is heading to Brazil ready to play in the 2014 World Cup, and Vice-President J</t>
  </si>
  <si>
    <t>Officials break Chinese law  .  LONDON/SHANGHAI: British drugmaker GlaxoSmithKline said on Monday that some of its executives in Chi</t>
  </si>
  <si>
    <t>USA considering troop boost to counter Iran  .  WASHINGTON: The United States said Thursday it was considering deploying fresh forces to counter Ira</t>
  </si>
  <si>
    <t>Gold falls, silver rises  .  Singapore Gold extended losses to a third session on Monday, falling as much as one percent as USA Pr</t>
  </si>
  <si>
    <t>India doesnât qualify for NSG membership: USA paper  .  &lt;p&gt;ISLAMABAD: A USA newspaper has stated that India does not qualify for becoming a member of the eli</t>
  </si>
  <si>
    <t>Late Malagasy goal stuns Ghana in Cosafa Cup  .  JOHANNESBURG: Olivier Simouri scored in the final minute to give Madagascar a stunning 2-1 triumph o</t>
  </si>
  <si>
    <t>GHA MDG</t>
  </si>
  <si>
    <t>Warner promises in your face cricket against NZ  .  BRISBANE: Feisty Australia opener David Warner spiced up proceedings ahead of this week s opening Te</t>
  </si>
  <si>
    <t>China crush Philippines 3-0  .  Aussies fire Asian Cup warning with 3-0 triumphABU DHABI: Star striker Wu Lei fired a brilliant doub</t>
  </si>
  <si>
    <t>CHN PHL</t>
  </si>
  <si>
    <t xml:space="preserve">Afghanistan, central Asia major beneficiaries of CPEC: PM  .  KARACHI: Prime Minister Shahid Khaqan Abbasi on Monday said China-Pakistan Economic Corridor (CPEC) </t>
  </si>
  <si>
    <t>AFG CHN</t>
  </si>
  <si>
    <t>India may consider joining CPEC, says high commissioner  .  &lt;p&gt;ISLAMABAD: India may consider joining the China-Pakistan Economic Corridor (CPEC), which will att</t>
  </si>
  <si>
    <t>Captain Cool Dhoni blasts India to last-over win  .  PORT OF SPAIN: India captain Mahendra Singh Dhoni dragged his side to a pulsating one-wicket victory</t>
  </si>
  <si>
    <t>IND ESP</t>
  </si>
  <si>
    <t xml:space="preserve">Ronaldo in need of supporting cast  .  MOSCOW: Cristiano Ronaldo&amp;rsquo;s off-night against Iran nearly cost Portugal their World Cup dream </t>
  </si>
  <si>
    <t>Pentagon alarmed by uptick in close calls with Russia jets in Syria  .  &lt;p&gt;WASHINGTON: The Pentagon is voicing growing alarm that the risky flying of Russian pilots in Syri</t>
  </si>
  <si>
    <t xml:space="preserve">Pakistan edge out India, meet Germany in final  .  BHUBANESWAR, India: Pakistan edged out hosts India 4-3 in a thrilling semi-final on Saturday to set </t>
  </si>
  <si>
    <t>IND DEU</t>
  </si>
  <si>
    <t>N Korea angry as Swiss block ski-lift deal  .  SEOUL: North Korea expressed anger Saturday after Switzerland blocked a deal to supply key equipment</t>
  </si>
  <si>
    <t>PRK CHE</t>
  </si>
  <si>
    <t>SA top ODI rankings after NZ series victory  .  HAMILTON: South Africa have moved to the top of the International Cricket Council (ICC) one-day rank</t>
  </si>
  <si>
    <t>No peace if Taliban do not adapt: USA envoy  .  KABUL: There will be no enduring peace in Afghanistan unless the Taliban adapt to the changes that h</t>
  </si>
  <si>
    <t>USA sought âleverageâ with $400 mn payment to Iran  .  &lt;p&gt;&lt;/p&gt;&lt;p&gt;WASHINGTON: The United States acknowledged that it waited for Iran to release American p</t>
  </si>
  <si>
    <t>Gold near one-week high  .  Singapore Spot gold traded near a one-week high on Thursday after the USA Federal Reserve surprised m</t>
  </si>
  <si>
    <t>Attack on Syria part of plan to create Greater Israel  .  Islamabad: The Patron-in-Chief Supreme Shia Ulema Board Quaid-i-Millat Jafariya, Pakistan, Agha Syed</t>
  </si>
  <si>
    <t>Volleyball: Brazil's men beat Italy for third gold  .  &lt;p&gt;&lt;strong&gt;RIO DE JANEIRO: Brazil's men's volleyball team defeated Italy on Sunday to win their thir</t>
  </si>
  <si>
    <t>BRA ITA</t>
  </si>
  <si>
    <t xml:space="preserve">Modiâs unending war hysteria: India hastens USA defense deals  .  &lt;p&gt;&lt;strong&gt;NEW DELHI: India is trying to hasten a deal with the United States to buy Predator drone </t>
  </si>
  <si>
    <t>Chinese, British experts visit LWMC  .  LAHORE CHINESE and British delegations comprising waste to energy experts visited Lahore Waste Manag</t>
  </si>
  <si>
    <t>Kaushal vows no let-up for Australia in Colombo  .  &lt;p&gt;COLOMBO: Centurion Kaushal Silva said on Tuesday Sri Lanka were determined not to let Australia o</t>
  </si>
  <si>
    <t>AUS LKA</t>
  </si>
  <si>
    <t xml:space="preserve">Osaka advances to Pan Pacific final  .  TOKYO: Japanese tennis sensation Naomi Osaka beat Elise Mertens of Belgium on Saturday to reach the </t>
  </si>
  <si>
    <t>JPN BEL</t>
  </si>
  <si>
    <t>India shaken by Chinese investment, says Sethi  .  Describing China Pakistan Economic Corridor (CPEC) as a game changer which serves the interests of b</t>
  </si>
  <si>
    <t>UAE demands guarantees before mending Qatar ties  .  &lt;p&gt;ABU DHABI: The United Arab Emirates said on Tuesday that Qatar would need to provide a ""guarante</t>
  </si>
  <si>
    <t>NDMA sends relief goods to Tajikistan  .  IslamabadPrime Minister of Pakistan announced a generous support of USA $1 million for the earthqua</t>
  </si>
  <si>
    <t>TJK USA</t>
  </si>
  <si>
    <t>The USA withdrawal  .  Part - IFor the second time in a generation, Afghanistan and its neighbours are facing the potenti</t>
  </si>
  <si>
    <t>Australia hammer China 11-0 in WC  .  BHUBANESWAR: A brilliant performance saw Australia thrash China 11-0 in a Pool B match of the hockey</t>
  </si>
  <si>
    <t xml:space="preserve">USA calls for release of jailed Chinese ‘cyber-dissident’  .  WASHINGTON: The United States said on Thursday it was &amp;ldquo;deeply concerned&amp;rdquo; by the 12-year </t>
  </si>
  <si>
    <t>Cricket joy  .  The recent Pakistan s Test series win over Australia after 20 years in the UAE is a remarkable achie</t>
  </si>
  <si>
    <t>AUS ARE</t>
  </si>
  <si>
    <t>Just Pakistani  .  This refers to the news report, India, UAE to set up $75 billion fund for economic, defence ties  (</t>
  </si>
  <si>
    <t>IND ARE</t>
  </si>
  <si>
    <t>Asia Cup: UAE restrict Bangladesh to 133-8  .  DHAKA: United Arab Emirates (UAE) restricted Bangladesh to 133 runs for eight wickets in the 20 over</t>
  </si>
  <si>
    <t>ARE BGD</t>
  </si>
  <si>
    <t xml:space="preserve">Henderson tied for lead at Lotte C’ship  .  OAHU, United States: Canada&amp;rsquo;s Brooke Henderson took another step towards defending her title, </t>
  </si>
  <si>
    <t>Russia blocks UN condemnation of North Korea âmissileâ  .  &lt;img src=""https://www.thenews.com.pk/assets/uploads/akhbar/2017-07-07/l_214834_041253_print.jpg""/&gt;</t>
  </si>
  <si>
    <t>Dutch outplay Zimbabwe to win series 2-0  .  DEVENTER: Max O&amp;rsquo;Dowd and Roelof van der Merwe scored half-centuries to help Netherlands regist</t>
  </si>
  <si>
    <t>NLD ZWE</t>
  </si>
  <si>
    <t>Yuan firm  .  &lt;p&gt;SHANGHAI: China&amp;acute;s yuan firmed against the USA dollar on Friday after the central bank fixe</t>
  </si>
  <si>
    <t>Oil prices mixed in Asia  .  Singapore Oil prices were mixed in Asia Tuesday after the latest Chinese trade data showed lacklustr</t>
  </si>
  <si>
    <t>S Arabia, Iran take steps towards indirect talks  .  NEW YORK: Saudi Arabia and Iran have taken steps towards indirect talks to defuse tensions in the Mi</t>
  </si>
  <si>
    <t>China FM urges USA caution on missile system  .  BEIJING: The United States needs to proceed with caution on possible deployment of an advanced USA mi</t>
  </si>
  <si>
    <t>Awoniyi stars as Nigerian Dream Team win  .  JOHANNESBURG: Taiwo Awoniyi was the two-goal hero as Nigeria edged Zambia 2-1 at the weekend to reac</t>
  </si>
  <si>
    <t>NGA ZMB</t>
  </si>
  <si>
    <t>Aussies win Test amid Warner, De Kock row  .  &lt;p&gt;DURBAN, South Africa: Australia wrapped up a 118-run win on the fifth day of the first Test again</t>
  </si>
  <si>
    <t>Israel slams new recruits to Iran barter system  .  JERUSALEM: Israel on Sunday scolded six new European members of the INSTEX barter mechanism with Ira</t>
  </si>
  <si>
    <t>BENAZIR BHUTTO ITF FUTURES: Noguchi, Wehnelt set up showdown  .  ISLAMABAD: Second seed Rio Noguchi (Japan) set up singles final clash against Germany&amp;rsquo;s Kai We</t>
  </si>
  <si>
    <t>Temporary truce possible if Russia stops air strikes  .  BEIRUT: Syria&amp;rsquo;s opposition on Saturday said it had agreed to the ""possibility"" of a temporar</t>
  </si>
  <si>
    <t xml:space="preserve">Wont cheer for you, Argentina, say some Latin Americans  .  SANTIAGO, Chile: Though Argentina carry Latin America s only hope of lifting the World Cup, many in </t>
  </si>
  <si>
    <t>ARG CHL</t>
  </si>
  <si>
    <t>China carries out aircraft carrier drills in Pacific as Taiwan tensions rise  .  BEIJING: China has carried out aircraft carrier drills in the Pacific, its navy said Saturday, rampi</t>
  </si>
  <si>
    <t>‘The world’s biggest storm this year felled trees and sent skyscrapers swaying in high-rise Hong Kong’  .  Typhoon makes landfall in China after killing 59 in PhilippinesAg AFPHONG KONG: Typhoon Mangkhut sla</t>
  </si>
  <si>
    <t>Davis Cup tie  .  &lt;p&gt;BRISBANE, Australia: Australia will play Germany in the opening round of the Davis Cup World Grou</t>
  </si>
  <si>
    <t>AUS DEU</t>
  </si>
  <si>
    <t xml:space="preserve">Trump for reducing Pak-India tension  .  ISLAMABAD: USA President Donald Trump has initiated telephonic diplomacy between Pakistan and India </t>
  </si>
  <si>
    <t xml:space="preserve">AustraliaÂ´s Starc bags 100 Test wickets  .  &lt;p&gt;&lt;strong&gt;GALLE, Sri Lanka: Australia&amp;acute;s pace spearhead Mitchell Starc on Thursday bagged his </t>
  </si>
  <si>
    <t>LKA AUS</t>
  </si>
  <si>
    <t>Klaasen to replace Smith at IPL’s Royals  .  New Delhi: South Africa&amp;rsquo;s Heinrich Klaasen on Monday replaced Australia&amp;rsquo;s scandal-tainte</t>
  </si>
  <si>
    <t xml:space="preserve">Chinese scientists create monkeys with human brain genes  .  HONG KONG: Chinese scientists have implanted human brain genes into monkeys, in a study intended to </t>
  </si>
  <si>
    <t>ESP</t>
  </si>
  <si>
    <t>PHL</t>
  </si>
  <si>
    <t xml:space="preserve">France to station new force in West Africa over militant attacks  .  ABIDJAN - France is to station a force of gendarmes in the capital of Burkina Faso to react swiftly </t>
  </si>
  <si>
    <t>FRA BFA</t>
  </si>
  <si>
    <t>Ecuador sentences Chinese crew to jail for illegal fishing off Galapagos  .  &lt;div class=""field field-name-body field-type-text-with-summary field-label-hidden""&gt;&lt;div class=""fi</t>
  </si>
  <si>
    <t>ECU CHN</t>
  </si>
  <si>
    <t>Singapore welcomes resolution of long-standing Japan-South Korean issues  .  &lt;img typeof=""foaf:Image"" src=""http://www.todayonline.com/sites/default/files/styles/thumbnail/pub</t>
  </si>
  <si>
    <t>Bulgaria pledges solidarity with Hungary in rights standoff with EU  .  &lt;div class=""field field-name-body field-type-text-with-summary field-label-hidden""&gt;&lt;div class=""fi</t>
  </si>
  <si>
    <t>BGR HUN</t>
  </si>
  <si>
    <t>USA still searching for credible allies in Syria  .  WASHINGTON - Despite years of diplomacy and a Central Intelligence Agency (CIA) operation to vet and</t>
  </si>
  <si>
    <t>Democratic senator: USA shifts on Cuba 'clearly intended' to bypass law  .  WASHINGTON - Democratic USA Senator Robert Menendez said on Wednesday that President Barack Obama's</t>
  </si>
  <si>
    <t>As Asia frets over China, warmer welcome likely for Japan PM's push  .  &lt;img typeof=""foaf:Image"" src=""http://www.todayonline.com/sites/default/files/styles/thumbnail/pub</t>
  </si>
  <si>
    <t>Russia says to increase air strikes in Syria  .  MOSCOW - Russia said on Saturday it would increase its air strikes in Syria and was willing to coope</t>
  </si>
  <si>
    <t>Bemoaning UK handling of Brexit, a pro-Leave planemaker looks to EU, USA  .  &lt;div class=""field field-name-body field-type-text-with-summary field-label-hidden""&gt;&lt;div class=""fi</t>
  </si>
  <si>
    <t>Colombia asks Cuba to capture and extradite ELN rebel leader  .  &lt;div class=""field field-name-body field-type-text-with-summary field-label-hidden""&gt;&lt;div class=""fi</t>
  </si>
  <si>
    <t>COL CUB</t>
  </si>
  <si>
    <t>China, Solomon Islands sign agreement to establish diplomatic ties  .  &lt;div class=""field field-name-body field-type-text-with-summary field-label-hidden""&gt;&lt;div class=""fi</t>
  </si>
  <si>
    <t>CHN SLB</t>
  </si>
  <si>
    <t>Russia blocks U.N. condemnation of North Korea missile over ICBM label  .  UNITED NATIONS - Russia objected on Thursday to a United Nations Security Council condemnation of No</t>
  </si>
  <si>
    <t xml:space="preserve">Man claims he ate birds, turtles in 13 months adrift  .  WELLINGTON (New Zealand) - It is a story that almost defies belief: A man leaves Mexico in December </t>
  </si>
  <si>
    <t>NZL MEX</t>
  </si>
  <si>
    <t>Turkey's Kale eyes F-35 options during USA spat  .  &lt;div class=""field field-name-body field-type-text-with-summary field-label-hidden""&gt;&lt;div class=""fi</t>
  </si>
  <si>
    <t>Trump, Abe didn't discuss bilateral FTA: Japan spokesman  .  TOKYO - USA President Donald Trump and Japanese Prime Minister Shinzo Abe did not discuss a bilater</t>
  </si>
  <si>
    <t>Germany steps up economic pressure on Turkey in rights row  .  &lt;img typeof=""foaf:Image"" data-src=""http://www.todayonline.com/sites/default/files/styles/thumbnai</t>
  </si>
  <si>
    <t>France, Russia reach Mistral compensation deal: RIA  .  &lt;img typeof=""foaf:Image"" src=""http://www.todayonline.com/sites/default/files/styles/thumbnail/pub</t>
  </si>
  <si>
    <t xml:space="preserve">Militants threaten to kill USA pastor jailed in Iran: wife  .  SALMON Idaho - The Idaho wife of an Iranian-American Christian pastor imprisoned in Iran for nearly </t>
  </si>
  <si>
    <t>Taiwan scrambles jets as China's air force holds drill near island  .  &lt;div class=""field field-name-field-article-date field-type-datestamp field-label-hidden""&gt;&lt;div clas</t>
  </si>
  <si>
    <t>Xi expands China’s footprint in Pacific as Trump Stays in USA  .  &lt;div class=""field field-name-field-article-date field-type-datestamp field-label-hidden""&gt;&lt;div clas</t>
  </si>
  <si>
    <t xml:space="preserve">Spain's Telefonica raises bid for Vivendi's GVT in Brazil  .  MADRID - Spain's Telefonica said on Thursday it had launched a new bid for Vivendi's Brazilian unit </t>
  </si>
  <si>
    <t>Iran supreme leader spurns USA overture to fight Islamic State  .  &lt;img typeof=""foaf:Image"" src=""http://www.todayonline.com/sites/default/files/styles/thumbnail/pub</t>
  </si>
  <si>
    <t>China won't say if Xi met North Korea official during parade  .  &lt;img typeof=""foaf:Image"" src=""http://www.todayonline.com/sites/default/files/styles/thumbnail/pub</t>
  </si>
  <si>
    <t>Russia to expel Montenegro diplomat over Skripal case  .  &lt;div class=""field field-name-body field-type-text-with-summary field-label-hidden""&gt;&lt;div class=""fi</t>
  </si>
  <si>
    <t>RUS MNE</t>
  </si>
  <si>
    <t>Qatar emir abruptly leaves Arab League summit in Tunisia  .  &lt;div class=""field field-name-body field-type-text-with-summary field-label-hidden""&gt;&lt;div class=""fi</t>
  </si>
  <si>
    <t>QAT TUN</t>
  </si>
  <si>
    <t>Turkey's Erdogan says Germany abetting terrorists  .  ANKARA - Turkish President Tayyip Erdogan accused Germany on Monday of assisting terrorists by not r</t>
  </si>
  <si>
    <t xml:space="preserve">Biden, Poroshenko concerned about Russia military buildup: White House  .  WASHINGTON - USA Vice President Joe Biden and Ukrainian President Petro Poroshenko discussed their </t>
  </si>
  <si>
    <t>Qatar accuses UAE of hack that sparked Gulf crisis  .  &lt;div class=""field field-name-body field-type-text-with-summary field-label-hidden""&gt;&lt;div class=""fi</t>
  </si>
  <si>
    <t>QAT ARE</t>
  </si>
  <si>
    <t>China scrambles jets in response to US, Japan entering disputed air zone  .  &lt;img typeof=""foaf:Image"" src=""http://www.todayonline.com/sites/default/files/styles/thumbnail/pub</t>
  </si>
  <si>
    <t>Russia accuses insurgents of firing on Syria's Aleppo with chlorine gas shells  .  &lt;div class=""field field-name-body field-type-text-with-summary field-label-hidden""&gt;&lt;div class=""fi</t>
  </si>
  <si>
    <t>Over 100,000 protest in Taiwan over China trade deal  .  &lt;img typeof=""foaf:Image"" src=""http://www.todayonline.com/sites/default/files/styles/thumbnail/pub</t>
  </si>
  <si>
    <t>EU open to Iran sanctions over foiled Danish, French plots: diplomats  .  &lt;div class=""field field-name-body field-type-text-with-summary field-label-hidden""&gt;&lt;div class=""fi</t>
  </si>
  <si>
    <t>IRN DNK</t>
  </si>
  <si>
    <t xml:space="preserve">Saudi border guard officers killed in attack from Yemen - Saudi ministry  .  DUBAI - A district commander and a sergeant in Saudi Arabia's border guard were killed in an attack </t>
  </si>
  <si>
    <t>Singaporean student dies in gyrocopter crash in Australia  .  SINGAPORE - An 18-year-old Singaporean student, Jordan Peng, has died in a gyrocopter crash in Victo</t>
  </si>
  <si>
    <t>AUS JOR</t>
  </si>
  <si>
    <t>Qatar seals 5-billion-euro navy vessels deal with Italy  .  DOHA - Qatar has concluded a 5 billion euro deal with Italy for seven navy vessels, the Qatari forei</t>
  </si>
  <si>
    <t>QAT ITA</t>
  </si>
  <si>
    <t>Witness testifies in USA about 2000 murder of diplomat in Niger  .  NEW YORK - An African security guard on Monday told a USA judge that he saw an American diplomat sh</t>
  </si>
  <si>
    <t>Japan trade minister: USA commerce secretary has not requested any specific topic for talks  .  TOKYO - Japanese trade minister Hiroshige Seko said on Tuesday that he has not received a request fr</t>
  </si>
  <si>
    <t>Finland says GPS signal disruption during NATO war games came from Russia  .  &lt;div class=""field field-name-body field-type-text-with-summary field-label-hidden""&gt;&lt;div class=""fi</t>
  </si>
  <si>
    <t>FIN RUS</t>
  </si>
  <si>
    <t xml:space="preserve">India, USA stress strategic ties but tensions remain  .  NEW DELHI - The United States and India stressed their desire to boost business and defense ties on </t>
  </si>
  <si>
    <t>China gives cautious response to Obama's Islamic State call  .  BEIJING - China responded cautiously on Thursday to a call by USA President Barack Obama for a broa</t>
  </si>
  <si>
    <t>USA , China reach consensus on principles after trade talks: Xinhua  .  &lt;div class=""field field-name-body field-type-text-with-summary field-label-hidden""&gt;&lt;div class=""fi</t>
  </si>
  <si>
    <t>Plane carrying wounded arrives in Oman, fulfilling Yemen Houthi demand  .  &lt;div class=""field field-name-body field-type-text-with-summary field-label-hidden""&gt;&lt;div class=""fi</t>
  </si>
  <si>
    <t>OMN YEM</t>
  </si>
  <si>
    <t>Saudi Arabia rejects USA position on Israeli settlements: SPA  .  &lt;div class=""field field-name-body field-type-text-with-summary field-label-hidden""&gt;&lt;div class=""fi</t>
  </si>
  <si>
    <t>Turkey's Erdogan says can't tolerate Iran bid to dominate Middle East  .  ISTANBUL - Turkish President Tayyip Erdogan accused Iran on Thursday of trying to dominate the Middl</t>
  </si>
  <si>
    <t>With USA -Cuba detente, a battle over trademarks looms  .  &lt;img typeof=""foaf:Image"" src=""http://www.todayonline.com/sites/default/files/styles/thumbnail/pub</t>
  </si>
  <si>
    <t>USA government concludes cyber attack caused Ukraine power outage  .  WASHINGTON - A December power outage in Ukraine affecting 225,000 customers was the result of a cybe</t>
  </si>
  <si>
    <t>Philippines to receive S$12.5b Japanese aid boost  .  &lt;div class=""field field-name-body field-type-text-with-summary field-label-hidden""&gt;&lt;div class=""fi</t>
  </si>
  <si>
    <t>PHL JPN</t>
  </si>
  <si>
    <t>Britain's May expresses wish to enhance trade and cooperation on global issues with China  .  &lt;div class=""field field-name-body field-type-text-with-summary field-label-hidden""&gt;&lt;div class=""fi</t>
  </si>
  <si>
    <t>David Luiz starts for Brazil, Vidal for Chile  .  &lt;img typeof=""foaf:Image"" src=""http://www.todayonline.com/sites/default/files/styles/thumbnail/pub</t>
  </si>
  <si>
    <t>BRA CHL</t>
  </si>
  <si>
    <t>USA applauds European steps towards more Russia sanctions  .  WASHINGTON - The White House on Saturday applauded the European Council's readiness to consider furt</t>
  </si>
  <si>
    <t>Malaysia debates pulling out of soccer cup over Myanmar's Rohingya crackdown  .  &lt;div class=""field field-name-body field-type-text-with-summary field-label-hidden""&gt;&lt;div class=""fi</t>
  </si>
  <si>
    <t>MYS MMR</t>
  </si>
  <si>
    <t>Why topsy-turvy Asia has changed  .  The Philippines may have better medium-term growth prospects than China. From Beijing to Kuala Lumpu</t>
  </si>
  <si>
    <t>PHL CHN</t>
  </si>
  <si>
    <t>Lebanese security forces fire tear gas in protest near USA embassy  .  &lt;div class=""field field-name-body field-type-text-with-summary field-label-hidden""&gt;&lt;div class=""fi</t>
  </si>
  <si>
    <t>Indonesia seeks answer to why USA blocked military chief's travel  .  &lt;div class=""field field-name-body field-type-text-with-summary field-label-hidden""&gt;&lt;div class=""fi</t>
  </si>
  <si>
    <t>In Macau, casino titans join China reform wagon  .  &lt;img typeof=""foaf:Image"" src=""http://www.todayonline.com/sites/default/files/styles/thumbnail/pub</t>
  </si>
  <si>
    <t>Israel halts fuel shipments to Gaza citing continued fire balloon launches  .  &lt;div class=""field field-name-body field-type-text-with-summary field-label-hidden""&gt;&lt;div class=""fi</t>
  </si>
  <si>
    <t>USA military presence in Syria is act of aggression: Syrian government  .  &lt;div class=""field field-name-body field-type-text-with-summary field-label-hidden""&gt;&lt;div class=""fi</t>
  </si>
  <si>
    <t>Israel won't extradite ex-school principal wanted in Australia on sex crime charges  .  SYDNEY/JERUSALEM - An Israeli court has ruled that a former Australian school principal accused of m</t>
  </si>
  <si>
    <t>ISR AUS</t>
  </si>
  <si>
    <t xml:space="preserve">Chad accuses U.N. of neglecting its peacekeepers in Mali  .  N'DJAMENA - Chad's government accused the United Nations' peacekeeping mission in Mali on Friday of </t>
  </si>
  <si>
    <t>TCD MLI</t>
  </si>
  <si>
    <t>Taiwan urges China to renounce the use of force as Beijing warns of war  .  &lt;div class=""field field-name-body field-type-text-with-summary field-label-hidden""&gt;&lt;div class=""fi</t>
  </si>
  <si>
    <t>USA not conducting air strikes in Syria 'at this time': Pentagon  .  &lt;div class=""field field-name-body field-type-text-with-summary field-label-hidden""&gt;&lt;div class=""fi</t>
  </si>
  <si>
    <t>Hong Kong on edge ahead of sensitive Chinese anniversary  .  &lt;div class=""field field-name-body field-type-text-with-summary field-label-hidden""&gt;&lt;div class=""fi</t>
  </si>
  <si>
    <t>Philippines and USA reach agreement on new security deal  .  &lt;img typeof=""foaf:Image"" src=""http://www.todayonline.com/sites/default/files/styles/thumbnail/pub</t>
  </si>
  <si>
    <t>South Korea approves S$7.6 million in aid for North Korea  .  &lt;img typeof=""foaf:Image"" src=""http://www.todayonline.com/sites/default/files/styles/thumbnail/pub</t>
  </si>
  <si>
    <t>Explainer: Why have North Korea-USA denuclearization talks stalled?  .  &lt;div class=""field field-name-body field-type-text-with-summary field-label-hidden""&gt;&lt;div class=""fi</t>
  </si>
  <si>
    <t>China shuns foreign investors over bad-debt cleanup  .  HONG KONG - Chinese banks have a colossal mess of bad debts to clean up for the second time in as ma</t>
  </si>
  <si>
    <t>Japan, India negotiating military logistics pact in tightening of ties  .  &lt;div class=""field field-name-body field-type-text-with-summary field-label-hidden""&gt;&lt;div class=""fi</t>
  </si>
  <si>
    <t>JPN IND</t>
  </si>
  <si>
    <t>Merkel's embrace of Turkey draws criticism in Germany  .  &lt;img typeof=""foaf:Image"" src=""http://www.todayonline.com/sites/default/files/styles/thumbnail/pub</t>
  </si>
  <si>
    <t>USA to pursue counterterrorism cooperation with Yemen: White House  .  WASHINGTON - The United States wants to continue its close counterterrorism cooperation with Yemen a</t>
  </si>
  <si>
    <t>Kerry to say USA committed to free South China Sea movement: USA official  .  &lt;img typeof=""foaf:Image"" src=""http://www.todayonline.com/sites/default/files/styles/thumbnail/pub</t>
  </si>
  <si>
    <t>Bangladesh to press for Muslim refugees' return to Myanmar  .  &lt;div class=""field field-name-body field-type-text-with-summary field-label-hidden""&gt;&lt;div class=""fi</t>
  </si>
  <si>
    <t>Putin orders suspension of passenger flights from Russia to Georgia  .  &lt;div class=""field field-name-body field-type-text-with-summary field-label-hidden""&gt;&lt;div class=""fi</t>
  </si>
  <si>
    <t>RUS GEO</t>
  </si>
  <si>
    <t>Turkey's Erdogan calls on New Zealand to restore death penalty over shooting  .  &lt;div class=""field field-name-body field-type-text-with-summary field-label-hidden""&gt;&lt;div class=""fi</t>
  </si>
  <si>
    <t>TUR NZL</t>
  </si>
  <si>
    <t>UK PM May says not right to have Irish border poll at this stage  .  LONDON - Prime Minister Theresa May said on Tuesday it was ""not right"" to have a referendum on Nor</t>
  </si>
  <si>
    <t>GBR IRL</t>
  </si>
  <si>
    <t>France says major powers want Syria peace talks to start again in June  .  VIENNA - France's foreign minister said on Tuesday that major world powers had agreed if possible to</t>
  </si>
  <si>
    <t>China condemns USA Senate over sea dispute resolution  .  BEIJING – China said today (Aug 1) it had lodged a formal complaint with the United States after the</t>
  </si>
  <si>
    <t>Hong Kong fund Oasis fails to block takeover of Japan's Alpine  .  &lt;div class=""field field-name-body field-type-text-with-summary field-label-hidden""&gt;&lt;div class=""fi</t>
  </si>
  <si>
    <t>HKG JPN</t>
  </si>
  <si>
    <t>China urges North Korea not to violate U.N. resolutions  .  &lt;div class=""field field-name-body field-type-text-with-summary field-label-hidden""&gt;&lt;div class=""fi</t>
  </si>
  <si>
    <t>Germany, 15 other countries press for arms control deal with Russia  .  &lt;div class=""field field-name-body field-type-text-with-summary field-label-hidden""&gt;&lt;div class=""fi</t>
  </si>
  <si>
    <t>Pompeo says downgrading USA ties to Saudi Arabia would be mistake  .  &lt;div class=""field field-name-body field-type-text-with-summary field-label-hidden""&gt;&lt;div class=""fi</t>
  </si>
  <si>
    <t xml:space="preserve">Ukraine president says EU sanctions on Russia demonstrate solidarity  .  KIEV - Ukraine's President Petro Poroshenko said fresh European Union sanctions against Russia that </t>
  </si>
  <si>
    <t>USA bombers a brazen nuclear threat: North Korea  .  SEOUL - The United States is threatening a nuclear attack against North Korea by flying B-52 bombers</t>
  </si>
  <si>
    <t>Hong Kong policeman filmed aiming gun at protesters hailed as a hero by Chinese state media  .  &lt;div class=""field field-name-body field-type-text-with-summary field-label-hidden""&gt;&lt;div class=""fi</t>
  </si>
  <si>
    <t>Rouhani hopes British PM Johnson's 'familiarity' with Iran will help improve relations  .  &lt;div class=""field field-name-body field-type-text-with-summary field-label-hidden""&gt;&lt;div class=""fi</t>
  </si>
  <si>
    <t xml:space="preserve">Baltics and Poland need more military infrastructure: Latvia  .  RIGA, Aug 22 - The Baltic states and Poland must invest in military infrastructure so they can host </t>
  </si>
  <si>
    <t>POL LVA</t>
  </si>
  <si>
    <t>Turkey's Erdogan to discuss Syria with Macron in Paris - source  .  &lt;div class=""field field-name-body field-type-text-with-summary field-label-hidden""&gt;&lt;div class=""fi</t>
  </si>
  <si>
    <t>China considers canceling trade talks with USA after Trump vows new tariff hike: WSJ  .  &lt;div class=""field field-name-body field-type-text-with-summary field-label-hidden""&gt;&lt;div class=""fi</t>
  </si>
  <si>
    <t>China accuses USA of serious military provocation  .  &lt;img typeof=""foaf:Image"" src=""http://www.todayonline.com/sites/default/files/styles/thumbnail/pub</t>
  </si>
  <si>
    <t>China, M’sia to boost defence, economic ties  .  KUALA LUMPUR - China and Malaysia agreed yesterday to elevate bilateral ties to a ""comprehensive st</t>
  </si>
  <si>
    <t>Europe would respond to any USA sanctions on investments in Cuba: French minister  .  &lt;div class=""field field-name-body field-type-text-with-summary field-label-hidden""&gt;&lt;div class=""fi</t>
  </si>
  <si>
    <t>China offers grudging congratulations to Japan  .  China yesterday grudgingly congratulated Japan on its successful bid to host the 2020 Olympics in To</t>
  </si>
  <si>
    <t>Canada trade panel says China, others dumped steel products  .  &lt;div class=""field field-name-body field-type-text-with-summary field-label-hidden""&gt;&lt;div class=""fi</t>
  </si>
  <si>
    <t>Three rockets hit northern Israel, no damage caused: army  .  JERUSALEM - Three rockets, apparently fired from Lebanon, struck open areas in northern Israel on Su</t>
  </si>
  <si>
    <t>USA calls for anyone promoting election violence in Haiti to be held accountable  .  WASHINGTON - The United States on Sunday called for accountability for any violence related to Haiti</t>
  </si>
  <si>
    <t>China’s conditions over disputed islands ‘inimical’ to the Philippines  .  MANILA - Philippine officials said yesterday that President Benigno Aquino cancelled a trip to a Chi</t>
  </si>
  <si>
    <t>USA missionary thrust to the center of Turkey-USA crisis  .  &lt;div class=""field field-name-body field-type-text-with-summary field-label-hidden""&gt;&lt;div class=""fi</t>
  </si>
  <si>
    <t>India fin min official: Fed's accommodative stance good for emerging markets  .  NEW DELHI - The USA Federal Reserve's ""accommodative"" monetary stance is good for emerging market</t>
  </si>
  <si>
    <t>Ultimate frontier market? Amid thaw, Chinese eye North Korea real estate  .  &lt;div class=""field field-name-body field-type-text-with-summary field-label-hidden""&gt;&lt;div class=""fi</t>
  </si>
  <si>
    <t>Blast-hit Japanese tanker anchors off UAE coast: operator  .  &lt;div class=""field field-name-body field-type-text-with-summary field-label-hidden""&gt;&lt;div class=""fi</t>
  </si>
  <si>
    <t>China state newspaper criticizes Apple for app use by Hong Kong protesters  .  &lt;div class=""field field-name-body field-type-text-with-summary field-label-hidden""&gt;&lt;div class=""fi</t>
  </si>
  <si>
    <t>NZL</t>
  </si>
  <si>
    <t>UKR</t>
  </si>
  <si>
    <t>Opinion: Will North Korea Win the Gold Medal for Deceit?  .  South Korea could be rushing headlong into a premature d&amp;#xE9;tente with its dangerous neighbor to t</t>
  </si>
  <si>
    <t>Refugees&amp;#x2019; Flight and Land Mines Spur Bangladesh Protest to Myanmar  .  Reports that Myanmar had placed mines along the countries&amp;#x2019; shared border led Bangladesh to is</t>
  </si>
  <si>
    <t>Mindful of Greece, Ukraine Is in a Rush to Line Up Debt Relief  .  In a bid to avoid continuous negotiations with creditors, the Ukrainian government (with the I.M.F.’</t>
  </si>
  <si>
    <t>GRC UKR</t>
  </si>
  <si>
    <t xml:space="preserve">Greece Rules Out Suing British Museum Over Elgin Marbles - The New York Times  .  </t>
  </si>
  <si>
    <t>GRC GBR</t>
  </si>
  <si>
    <t>Macedonia’s Border Breached  .  Riot police couldn’t hold back a tide of of refugees and migrants massed at the border with Greece.</t>
  </si>
  <si>
    <t>MKD GRC</t>
  </si>
  <si>
    <t>A Forgotten Italian Port Could Become a Chinese Gateway to Europe  .  Despite American objections, Italy is set to become the first Group of 7 nation to participate in Be</t>
  </si>
  <si>
    <t>Quick History: A Week of Agony, From Eastern Ukraine to the Gaza Strip  .  There are times when the endless crises and conflicts of our times reach such paroxysms of senseless</t>
  </si>
  <si>
    <t>Letter: A Taiwan Perspective  .  A Taiwan official writes that Taiwan should not be used as a bargaining chip to get China to act tou</t>
  </si>
  <si>
    <t xml:space="preserve">AFTER THE ATTACKS: THE OVERVIEW; USA  Says Iraq Aided Production Of Chemical Weapons in Sudan  .  </t>
  </si>
  <si>
    <t>Presidents Cup Could Feature Golf’s No. 1 vs. No. 2  .  The Cup, which begins on Thursday in Incheon, South Korea, could include a duel between No. 1 Jordan</t>
  </si>
  <si>
    <t>KOR JOR</t>
  </si>
  <si>
    <t>Israel Goes to 3-0 at World Baseball Classic  .  Nate Freiman&amp;#x2019;s RBI double sparked a three-run first inning as Israel beat the Netherlands, 4-</t>
  </si>
  <si>
    <t>ISR NLD</t>
  </si>
  <si>
    <t xml:space="preserve">Panama Canal Expects to Sign Deal With Consortium  .  The Panama Canal Authority expects to sign a deal next week with a Spanish-led consortium to finish </t>
  </si>
  <si>
    <t>PAN ESP</t>
  </si>
  <si>
    <t>USA Reveals Joint Patrols in South China Sea With Philippines  .  The United States on Thursday revealed for the first time that American ships have started conductin</t>
  </si>
  <si>
    <t>Mexico Says It Will Waive Most of $487 Million Debt Owed by Cuba  .  The Mexican government is ready to waive 70 percent of a debt worth nearly $500 million (313.9 milli</t>
  </si>
  <si>
    <t>MEX CUB</t>
  </si>
  <si>
    <t>USA  Highlights Ties With Taiwan, a Day After China’s Warning  .  A top State Department officials said American policy would continue “to ensure that Taiwan’s people</t>
  </si>
  <si>
    <t>Your Tuesday Briefing  .  Afghanistan papers, New Zealand volcano, Xinjiang: Here’s what you need to know.</t>
  </si>
  <si>
    <t>AFG NZL</t>
  </si>
  <si>
    <t>Notebook: In the Debate Over North Korea, Does Anyone Care What South Korea Thinks?  .  How the confrontation between Donald Trump and Kim Jong-un has scrambled politics in Seoul.</t>
  </si>
  <si>
    <t>Russia Extends Aleppo Cease-Fire and Urges Rebels to Leave  .  Already accused of war crimes in Syria, the Kremlin is anxious to avoid a blood bath and humanitaria</t>
  </si>
  <si>
    <t>Sports Briefing | Soccer: Tim Cahill Helps Australia Beat Kuwait in Asian Cup  .  Tim Cahill of the Red Bulls sparked a rally, and Australia beat Kuwait, 4-1, in the opening match of</t>
  </si>
  <si>
    <t>AUS KWT</t>
  </si>
  <si>
    <t xml:space="preserve">China Vows Sanctions on USA  Firms Selling Arms to Taiwan  .  More actions against American companies could signal Beijing’s appetite for greater conflict as the </t>
  </si>
  <si>
    <t>In Brazil, World Cup Loss to Germany Looms Large  .  When Brazil lost to Germany, 7-1, on Tuesday, it lost something much larger than a game in a country</t>
  </si>
  <si>
    <t>Open Source: Syrian Refugee Tripped in Hungary Fights Unfounded Accusations of Extremist Ties  .  A review of the evidence shows that Osama Abdul Mohsen, a Syrian in Spain, did not express support f</t>
  </si>
  <si>
    <t>HUN ESP</t>
  </si>
  <si>
    <t>Homeowners in Poland Borrowed in Swiss Francs, and Now Pay Dearly  .  Switzerland’s move to untie its currency from the euro has caused the franc to soar, along with hund</t>
  </si>
  <si>
    <t>POL CHE</t>
  </si>
  <si>
    <t>Air of Mystery Surrounds an Unlikely Source in Britain: the Crufts Dog Show  .  Thendara Satisfaction, an Irish setter also known as Jagger, died after returning home from the Cruf</t>
  </si>
  <si>
    <t>Asia and Australia Edition: Donald Trump, Syria, Emperor Akihito: Your Morning Briefing  .  Here&amp;#x2019;s what you need to know to start your day.</t>
  </si>
  <si>
    <t>AUS SYR</t>
  </si>
  <si>
    <t xml:space="preserve">After Brief Lull in Gaza Crisis, Airstrikes Resume  .  After a short, one-sided cease-fire, Israel and Hamas on Tuesday resumed their latest battle in the </t>
  </si>
  <si>
    <t xml:space="preserve">USA  and Russia Set Date for Cease-Fire in Syria to Begin  .  The cease-fire is to begin Saturday, but officials acknowledge that obstacles remain in getting the </t>
  </si>
  <si>
    <t>After Death on Airliner, Autopsy’s Grim Discovery: 246 Packs of Cocaine  .  A man died en route to Japan from Colombia, after one of the packs of cocaine he had swallowed ruptu</t>
  </si>
  <si>
    <t>Twitter Backer of ISIS Is a Clean-Cut Executive in India, British Channel Says  .  One of the most prolific cheerleaders for the Islamic State, @shamiwitness, is a marketing executive</t>
  </si>
  <si>
    <t>IND GBR</t>
  </si>
  <si>
    <t xml:space="preserve">Rebel Infighting Spreads to Eastern Syrian City  .  Some antigovernment activists said the Islamic State of Iraq and Syria, a Qaeda affiliate, had been </t>
  </si>
  <si>
    <t>Is Vladimir Putin Trying to Teach the West a Lesson in Syria?  .  Russia&amp;#x2019;s intervention in the Middle East is part of an argument against democratic revolution</t>
  </si>
  <si>
    <t>Countdown to 2014 World Cup in Brazil: Day 37  .  Honduras on Tuesday unveiled its 23-man squad for the World Cup.</t>
  </si>
  <si>
    <t>BRA HND</t>
  </si>
  <si>
    <t>First Draft: Shifting on Islamic State, Donald Trump Welcomes Russia’s Moves in Syria  .  Donald J. Trump had said that the United States should go after the Islamic State. Now he is happy t</t>
  </si>
  <si>
    <t>Pushing for Serbia-Kosovo Peace Deal, USA  Roils Allies  .  The Ibar river in Mitrovica, Kosovo, which separates the Serbs in the north of the city from the Kos</t>
  </si>
  <si>
    <t>Did Xi Jinping Conquer Italy or Just Buy a Lot of Blood Oranges?  .  The government in Rome is a very unreliable partner, even for China.</t>
  </si>
  <si>
    <t>Merkel Tries to Quell Row Over German Role in Africa  .  Germany is ready to send logistical support to Central African Republic but will not dispatch combat</t>
  </si>
  <si>
    <t>DEU CAF</t>
  </si>
  <si>
    <t>Australia Is Responsible for Manus Island Refugees, U.N. Says  .  A rebuke by the United Nations Human Rights Committee came as the authorities in Papua New Guinea vo</t>
  </si>
  <si>
    <t>South Korea-USA  Partnership Faces Strains as North Korea Raises Threat  .  The uneasy relationship between President Trump and South Korea&amp;#x2019;s leader is testing a seven-d</t>
  </si>
  <si>
    <t>Coronavirus: Revenge of the Pangolins  .  A pangolin in Kuala Lumpur, Malaysia, in 2002. Prized in China as a delicacy and for the purported m</t>
  </si>
  <si>
    <t xml:space="preserve">France Says Its Airstrikes Hit an ISIS Camp in Syria - The New York Times  .  </t>
  </si>
  <si>
    <t>Roger Federer Burnishes Legacy as the Swiss Capture a Long-Sought Title  .  Federer won the match that gave Switzerland the Davis Cup title over France, one of the few major te</t>
  </si>
  <si>
    <t>CHE FRA</t>
  </si>
  <si>
    <t>Taking Note: Israel’s Headline From the Future  .  A fake front page from the future reports on how Iran duped everyone on a nuclear deal.</t>
  </si>
  <si>
    <t>Asia and Australia Edition: Jared Kushner, Russia, Angela Merkel: Your Morning Briefing  .  Here&amp;#x2019;s what you need to know to start your day.</t>
  </si>
  <si>
    <t>AUS RUS</t>
  </si>
  <si>
    <t>Coronavirus Shock Could Push Europe Into a Downturn  .  Germany and other countries were already vulnerable. The longer the Chinese economy remains crippled</t>
  </si>
  <si>
    <t>Editorial: Iran’s Role in the Syrian Crisis  .  Iran has a chance to make a difference in the international talks on Syria’s future.</t>
  </si>
  <si>
    <t>Life Beneath Bombs and Behind Blockade  .  The people of Yemen suffer as the United States prepares to sell Saudi Arabia more deadly weapons...</t>
  </si>
  <si>
    <t>Truce Unravels as Fighting Picks Up in Ukraine  .  A resumption of hostilities suggests that Russia, which supports the rebels, is willing to sustain t</t>
  </si>
  <si>
    <t xml:space="preserve">Tillerson Says Russia Must Restore Ukraine Territory, or Sanctions Stay  .  </t>
  </si>
  <si>
    <t>The USA  Wanted to Discuss Iran. Russia Brought Up Black Lives Matter.  .  The United Nations Security Council discussed the recent protests in Iran over economic conditions t</t>
  </si>
  <si>
    <t>Israel, Greenland, Haunted Mansion: Your Friday Evening Briefing  .  Here’s what you need to know at the end of the day.</t>
  </si>
  <si>
    <t>ISR GRL</t>
  </si>
  <si>
    <t>Jeff Sessions, Italy, Russia: Your Thursday Briefing  .  Here’s what you need to know to start your day.</t>
  </si>
  <si>
    <t>The Source of New York&amp;#x2019;s Greatness  .  Dutch tolerance and British energy were a winning combination.</t>
  </si>
  <si>
    <t>Sinosphere Blog: Q. and A.: Andrew Small on the China-Pakistan Relationship  .  Mr. Small, a policy researcher at the German Marshall Fund of the United States in Washington, explo</t>
  </si>
  <si>
    <t>Your Monday Briefing  .  Hong Kong, Argentina, Istanbul: Here’s what you need to know.</t>
  </si>
  <si>
    <t>The U.N., the Philippines, Vietnam: Your Wednesday Briefing  .  Here’s what you need to know to start your day.</t>
  </si>
  <si>
    <t>PHL VNM</t>
  </si>
  <si>
    <t xml:space="preserve">July 17 Updates on Malaysia Airlines Plane Crash in Ukraine  .  </t>
  </si>
  <si>
    <t>Israel Says It Will Build New Homes in West Bank  .  Israel says it plans to build 1,400 new homes in Jewish settlements in the West Bank and east Jerusa</t>
  </si>
  <si>
    <t>Catalonia Leader Turns Up in Belgium After Spain Seeks Prosecution  .  Carles Puigdemont, the Catalan leader, arrived amid speculation that he may seek political asylum or</t>
  </si>
  <si>
    <t>Australia's Hend Masters Elements to Win in Taiwan  .  Australia's Scott Hend mastered hostile weather to win his fourth Asian Tour title at the Taiwan Mas</t>
  </si>
  <si>
    <t>Thailand Deports 2 Dissidents to China, Rights Groups Say  .  The dissidents had won official recognition as refugees and had been previously detained in China fo</t>
  </si>
  <si>
    <t>THA CHN</t>
  </si>
  <si>
    <t>Bank of England Warns of Risks From Greece and Market Liquidity  .  Still, the central bank said that credit growth in Britain remained moderate and that its banks were</t>
  </si>
  <si>
    <t xml:space="preserve">Israel Says It Seized Iranian Shipment of Rockets Headed for Gaza  .  </t>
  </si>
  <si>
    <t>Brian Barnes, 74, Dies; Golfer Bested Nicklaus Back to Back  .  Playing for Britain and Ireland in the 1975 Ryder Cup match, he defeated one of golf’s greatest play</t>
  </si>
  <si>
    <t>A Financier’s Profit-Minded Mission to Open a Channel Between Kushner and North Korea  .  The American businessman, who lives in Singapore, took advantage of an unusual opening in an adminis</t>
  </si>
  <si>
    <t>PRK SGP</t>
  </si>
  <si>
    <t>In Security Meeting, Japan and China Inch Toward Mending Ties  .  The two nations, holding their first meeting on security issues in four years, discussed the creatio</t>
  </si>
  <si>
    <t xml:space="preserve">Vatican to Act as Mediator Between Venezuela&amp;#x2019;s Dueling Sides  .  Government representatives and a leader of the opposition agreed to allow the Vatican to mediate in </t>
  </si>
  <si>
    <t>Notion of USA  Troop Cuts Unnerves South Korea and Japan  .  As President Trump weighs drawing down forces in the South, longtime Asian allies are unsettled by t</t>
  </si>
  <si>
    <t xml:space="preserve">Letter From Europe: Gaza Conflict Seen as Providing Cover for Anti-Semitic Attacks in France  .  </t>
  </si>
  <si>
    <t xml:space="preserve">Heng: Heng on USA -China Ties  .  China&amp;#x2019;s relationship with the United States remains strained by North Korea&amp;#x2018;s pursuit </t>
  </si>
  <si>
    <t xml:space="preserve">Countdown to the 2014 World Cup in Brazil: Day 14  .  After a 2-0 win against Azerbaijan in San Francisco, the United States’ World Cup team will spend a </t>
  </si>
  <si>
    <t>BRA AZE</t>
  </si>
  <si>
    <t>John Woodward, Leader of British Navy in Falkland Islands War, Dies at 81  .  Admiral Woodward, as commander of a Royal Navy battle group in 1982, gave the order to sink the Arge</t>
  </si>
  <si>
    <t>GBR FLK</t>
  </si>
  <si>
    <t>Pompeo Says Hong Kong No Longer Has Autonomy Under China  .  “No reasonable person can assert today that Hong Kong maintains a high degree of autonomy from China</t>
  </si>
  <si>
    <t>DealBook: Chinese Dairy Company Raises $1.3 Billion in I.P.O.  .  Strong demand from investors for shares of China Huishan Dairy gave a boost to Hong Kong’s biggest n</t>
  </si>
  <si>
    <t>Kosovo’s President, Hashim Thaci, Is Indicted for Role in Serbia War  .  President Hashim Thaci of Kosovo in December at the Recak memorial, which honors dozens of people wh</t>
  </si>
  <si>
    <t>KOS SRB</t>
  </si>
  <si>
    <t>Florence Finch, Unsung War Hero Who Took On Japanese, Dies at 101  .  During World War II, Mrs. Finch quietly undermined Japan when it occupied the Philippines, and was t</t>
  </si>
  <si>
    <t>JPN PHL</t>
  </si>
  <si>
    <t>Ex-C.I.A. Officer&amp;#x2019;s Brief Detention Deepens Mystery in Montenegro  .  For two years, Montenegrin officials have been pursuing the question of whether Russia secretly back</t>
  </si>
  <si>
    <t>MNE RUS</t>
  </si>
  <si>
    <t>Putin&amp;#x2019;s Partition Plan for Syria  .  Russia has comprehensively usurped America&amp;#x2019;s role as regional superpower in the Middle East.</t>
  </si>
  <si>
    <t xml:space="preserve">North Korea’s Missile Tests Timed to Bolster Standing With China, Analysts Say - The New York Times  .  </t>
  </si>
  <si>
    <t>Soccer Roundup: Mexico’s Coach Is Dismissed After Home Loss to Honduras  .  Mexico fired the coach of its national soccer team after Friday night’s home loss to Honduras in Wor</t>
  </si>
  <si>
    <t>MEX HND</t>
  </si>
  <si>
    <t>USA  Midterms, Germany, Ukraine: Your Tuesday Briefing  .  Here’s what you need to know to start your day.</t>
  </si>
  <si>
    <t>How France and Monaco Inspired Francis Bacon  .  An exhibition in Monte Carlo includes 66 Bacon oil paintings and a dozen related works by Picasso, S</t>
  </si>
  <si>
    <t>Venezuela Tops Cuba in Caribbean Series of Baseball  .  Alex Romero, Jose Martinez and Sandy Leon drove in runs to lead Venezuela's Aragua Tigers to a 3-1 v</t>
  </si>
  <si>
    <t>VEN CUB</t>
  </si>
  <si>
    <t>Your Thursday Briefing  .  Impeachment, Chinese surveillance, Macau: Here’s what you need to know.</t>
  </si>
  <si>
    <t>Ben McLachlan Rises in Doubles, but a Regular Partner Would Be Nice  .  McLachlan, who represents Japan now instead of New Zealand, enters the French Open ranked 25th in do</t>
  </si>
  <si>
    <t>JPN NZL</t>
  </si>
  <si>
    <t>University of Macau Moves Over the China Border  .  In a case that experts have called "curious," the University of Macau is relocating, en masse, to ma</t>
  </si>
  <si>
    <t xml:space="preserve">Iran Begins Deactivating Centrifuges Under Nuclear Deal’s Terms  .  The head of Iran’s nuclear energy program said in Japan that the nation has started decommissioning </t>
  </si>
  <si>
    <t>IRN JPN</t>
  </si>
  <si>
    <t>USA  Navy Says Mine Fragments Point to Iran in Tanker Attack  .  The United States has blamed Iran for the attacks in the Gulf of Oman, and officials said that finge</t>
  </si>
  <si>
    <t xml:space="preserve">UAE Pardons, Releases British Academic Convicted of Spying - The New York Times  .  </t>
  </si>
  <si>
    <t>Obama and South Korean Leader Emphasize Unity  .  President Park Geun-hye of South Korea and President Obama also promised to address North Korea’s ad</t>
  </si>
  <si>
    <t>Obama and Netanyahu Play Down Rancor on Iran, but Views Still Differ Sharply  .  President Obama and Prime Minister Benjamin Netanyahu of Israel offered divergent approaches to Iran</t>
  </si>
  <si>
    <t>USA  Imposes Sanctions on Russian Oil Company Supporting Venezuela’s Leader  .  An oil refinery in Krasnoyarsk, Russia, owned by Rosneft, the Russian state-controlled oil giant tha</t>
  </si>
  <si>
    <t>VEN RUS</t>
  </si>
  <si>
    <t xml:space="preserve">Greece Suspends Asylum as Turkey Opens Gates for Migrants - The New York Times  .  </t>
  </si>
  <si>
    <t>India Ink: Opportunities Trump Dangers for Indians in Afghanistan  .  Most Indians working in Afghanistan have chosen the war-torn country for employment because of the l</t>
  </si>
  <si>
    <t>IND AFG</t>
  </si>
  <si>
    <t>Sinosphere: Michael Flynn, a Top Trump Adviser, Ties China and North Korea to Islamists  .  By appointing General Flynn, President-elect Donald J. Trump has signaled that he intends to priorit</t>
  </si>
  <si>
    <t>If China Meant to Chill Hong Kong Speech, Booksellers&amp;#x2019; Case Did the Job  .  A report by PEN America outlines the circumstances behind the disappearances of five booksellers las</t>
  </si>
  <si>
    <t>Embracing ‘Made in China’  .  An interview with Adrien Choux, founder of the Hong Kong-based watchmaker The Chinese Timekeeper.</t>
  </si>
  <si>
    <t>Russia Rebukes Washington After Obama Comments on Syria  .  The Russian Foreign Ministry on Wednesday accused the United States of deliberately distorting its p</t>
  </si>
  <si>
    <t>Barclays to Sell Credit Card Business in Portugal and Spain  .  The Spanish online bank Bancopopular-e will buy the Barclaycard consumer payments business in the tw</t>
  </si>
  <si>
    <t xml:space="preserve">China’s Soft-Power Failure: Condemning Hong Kong’s Protests - The New York Times  .  </t>
  </si>
  <si>
    <t>With Assad in Control, Syria Reopens Links Trade Link to Jordan  .  Syrian officials celebrated the reopening of the border crossing with Jordan, hoping it would foster</t>
  </si>
  <si>
    <t>SYR JOR</t>
  </si>
  <si>
    <t>American student released from North Korea prison arrives in USA  .  An American student who fell into a coma while imprisoned in a North Korean labor camp returned to t</t>
  </si>
  <si>
    <t>Greek ambassador to Brazil murdered by wife's cop lover: police  .  Greece's ambassador to Brazil was murdered in a plot hatched by his Brazilian wife and her police of</t>
  </si>
  <si>
    <t>BRA GRC</t>
  </si>
  <si>
    <t>Hezbollah will pay 'full price' for deadly attack: Israel  .  Prime Minister Benjamin Netanyahu warned Lebanon's Hezbollah it will pay the "full price" after miss</t>
  </si>
  <si>
    <t>Ebola fears headline 2014 for African football  .  Ebola caused the 2015 African Nations Cup to be moved from Morocco to Equatorial Guinea in a year wh</t>
  </si>
  <si>
    <t>Xavi quits Barcelona for Qatar: report  .  Spain midfield king-pin will quit Barcelona for Qatar at the end of the season.</t>
  </si>
  <si>
    <t>QAT ESP</t>
  </si>
  <si>
    <t xml:space="preserve">'US-led coalition killed 1,600 civilians in Syria's Raqqa': Amnesty's shocking report  .  The USA backed assault to drive Islamic State from its Syrian capital Raqqa in 2017 killed more than </t>
  </si>
  <si>
    <t>#Bringbackourgirls may be tweeting USA into combat in Nigeria  .  #Bringbackourgirls may end up tweeting the USA armed forces into combat in Nigeria, according to a re</t>
  </si>
  <si>
    <t>USA NGA</t>
  </si>
  <si>
    <t xml:space="preserve">China says sensitive issues could damage ties with USA military  .  Failure to properly handle sensitive issues between the USA and China could "very likely disturb and </t>
  </si>
  <si>
    <t xml:space="preserve">'Just try to beat us'  .  Claude le Roy's Congo-Brazzaville team arrived in Bata, the largest city in Equatorial Guinea, this </t>
  </si>
  <si>
    <t>COD GNQ</t>
  </si>
  <si>
    <t>Yemen rebels shell Saudi town, sparking warning  .  Mortar rounds fired by Iran-backed rebels in Yemen hit the Saudi border town of Najran on Tuesday, p</t>
  </si>
  <si>
    <t>Over 15,000 evacuated in Taiwan as typhoon heads to China  .  Super Typhoon Nepartak brought chaos to Taiwan on Friday, forcing more than 15,000 people to flee th</t>
  </si>
  <si>
    <t>Kerry says Israel and Palestinians progressing on peace “puzzle“  .  USA Secretary of State John Kerry said on Sunday the Israelis and Palestinians were making some progr</t>
  </si>
  <si>
    <t>Home wine maker faces 350 lashes  .  The family of a 74-year-old British man sentenced to 350 lashes in Saudi Arabia after being caught w</t>
  </si>
  <si>
    <t>France makes $270 million cocaine bust on Venezuela flight  .  French police have seized a record haul of 1.3 tonnes of pure cocaine found on board an Air France p</t>
  </si>
  <si>
    <t>Britain's Prince Harry to marry USA actress Meghan Markle  .                      Britain's Prince Harry is engaged to his USA actress girlfriend Meghan Markle wi</t>
  </si>
  <si>
    <t>Germany's restart shows French league could still conclude, says Lyon boss  .  Germany's plan to restart its top soccer league gives hope that France could still complete the aban</t>
  </si>
  <si>
    <t>Vatican row as China invited to organ transplant meet  .  Ethics experts and human rights lawyers slammed the Vatican for inviting a top Chinese health offici</t>
  </si>
  <si>
    <t>VAT CHN</t>
  </si>
  <si>
    <t xml:space="preserve">Mexicans blow up Judas Trump in Easter ritual  .  An effigy of USA presidential contender Donald Trump -- a hated figure for many in Mexico -- was set </t>
  </si>
  <si>
    <t>Isis threatens to behead British hostage next  .  Just a day after the public beheading USA journalist Steven Sotloff, fears have been sparked that Jih</t>
  </si>
  <si>
    <t xml:space="preserve">Girl, 9, tests positive for Ebola in Uganda  .  A nine-year-old girl who had travelled from the Democratic Republic of Congo has been found to have </t>
  </si>
  <si>
    <t>UGA COD</t>
  </si>
  <si>
    <t>Michelle Obama calls Nigeria girls abductions 'unconscionable act'  .  USA First Lady Michelle Obama on Saturday denounced as an "unconscionable act" the kidnapping of more</t>
  </si>
  <si>
    <t>NGA USA</t>
  </si>
  <si>
    <t xml:space="preserve">Dutch expert sacked for using MH17 victim photos in lecture  .  A Dutch expert helping to identify victims from last year's MH17 airliner crash in Ukraine has been </t>
  </si>
  <si>
    <t>Queiroz to coach Iran through to 2018 World Cup  .  Portugal's Carlos Queiroz has signed a four-year contract extension to stay on as Iran coach until t</t>
  </si>
  <si>
    <t>A look at political protests that have marked sport history following Serbia-Albania riots  .  The history of sport has been marked by often deadly political protests and actions. After the Serbi</t>
  </si>
  <si>
    <t>Algeria qualify for Nations Cup finals  .  Algeria beat the Seychelles 2-0 away on Thursday to secure a place at next year's African Nations Cu</t>
  </si>
  <si>
    <t>DZA SYC</t>
  </si>
  <si>
    <t>'Lost' Clarion nightsnake rediscovered in Mexico  .  The Clarion nightsnake, a reptilian species believed lost, has resurfaced in Mexico, a USA museum sai</t>
  </si>
  <si>
    <t xml:space="preserve">Alex Song and Victor Moses join West Ham on loan  .  Former Cameroon international Alex Song and Nigeria winger Victor Moses have joined West Ham United </t>
  </si>
  <si>
    <t>Shami hat-trick seals India win against Afghanistan in World Cup thriller  .  India survived a major World Cup scare as they beat minnows Afghanistan by 11 runs thanks to Mohamme</t>
  </si>
  <si>
    <t>Woman sentenced for plotting to sell USA nuclear secrets to Venezuela  .  A 71-year-old former contractor at Los Alamos National Laboratory has been sentenced to a year and a</t>
  </si>
  <si>
    <t>Indian Buddhist temple to glitter with 300 kg of Thai gold  .  India's Mahabodhi temple, one of the world's holiest Buddhist shrines, is to have its dome inlaid wi</t>
  </si>
  <si>
    <t>THA IND</t>
  </si>
  <si>
    <t>Reporter challenges USA version of Bin Laden hunt, claims massive cover-up by Obama  .  Four years after a Navy SEAL team killed Osama bin Laden in his compound in Abbottabad, Pakistan, li</t>
  </si>
  <si>
    <t>China deploys 10 satellites to help in search for Malaysia jet  .  China has deployed 10 satellites to help in the massive air and sea search for a missing Malaysian a</t>
  </si>
  <si>
    <t>Bodies of Australians executed in Indonesia arrive home: reports  .  Prime Minister Tony Abbott said he was confident Australia could restore its relationship with Indon</t>
  </si>
  <si>
    <t>India thrive on verbal clashes, says Australia's Matthew Wade  .  Australia batsman Matthew Wade may decide to keep his lip zipped during the Test series against Indi</t>
  </si>
  <si>
    <t>USA air strike kills 13 Islamic State fighters in Somalia - USA military  .  A USA air strike killed 13 Islamic State fighters in Somalia's semi-autonomous Puntland region on Wed</t>
  </si>
  <si>
    <t>French intervention in CAR dangerous but vital: Hollande  .  President Francois Hollande on Tuesday said France’s intervention in the Central African Republic is</t>
  </si>
  <si>
    <t>China to attend organ trafficking summit at Vatican  .  China will attend an organ trafficking summit at the Vatican for the first time Tuesday, local media</t>
  </si>
  <si>
    <t>PSC calls for immediate recall of SA ambassador to Israel  .  The Palestine Solidarity Campaign South Africa has called for the immediate recall of South Africa’s</t>
  </si>
  <si>
    <t>Iran says warships at the entrance to key Yemen strait  .  Two Iranian destroyers, sent to the Gulf of Aden to protect commercial ships, have reached the entra</t>
  </si>
  <si>
    <t>Netanyahu says Israel shunning Gaza truce talks, won't negotiate under fire  .  Israel said on Sunday it would not return to Egyptian-mediated ceasefire talks as long as Palestinia</t>
  </si>
  <si>
    <t>Offspinners Utseya and Gazi suspended over illegal bowling action  .  Bangladesh's Sohag Gazi and Zimbabwe's Prosper Utseya have been suspended from bowling in internatio</t>
  </si>
  <si>
    <t>China aquarium refuses to deliver sad bear Pizza to UK  .  A Chinese aquarium holding a forlorn-looking polar bear named Pizza said Tuesday it has &amp;quot;no nee</t>
  </si>
  <si>
    <t>Warning: Iraq, Syria face anarchy at hands of IS  .  Iraq and Syria risked further division if international efforts to tackle Islamic State militants th</t>
  </si>
  <si>
    <t>USA warns Ethiopia against emergency crackdown  .  The United States warned its African ally Ethiopia on Tuesday not to abuse the state of emergency it</t>
  </si>
  <si>
    <t>USA ETH</t>
  </si>
  <si>
    <t>SA expats grab top jobs  .  The top three countries for South African expatriates are the United Arab Emirates, Mozambique and G</t>
  </si>
  <si>
    <t>ARE MOZ</t>
  </si>
  <si>
    <t xml:space="preserve">Springboks suffer blow after Jaco Kriel ruled out of tour of Europe  .  The Springboks were dealt another blow shortly before their tour to Britain and Italy with the news </t>
  </si>
  <si>
    <t>High expectations will weigh heavily on Lions  .  All Blacks coach Steve Hansen rates Warren Gatland's British and Irish Lions squad as one of the str</t>
  </si>
  <si>
    <t>'Standard procedure' - UK delays publishing report on Russia poll meddling  .  Britain is following standard procedure by not publishing a parliamentary select committee report on</t>
  </si>
  <si>
    <t>USA Pacific islands brace for long recovery after 'catastrophic' typhoon  .                      Authorities in the Northern Mariana Islands called for urgent supplies and equi</t>
  </si>
  <si>
    <t>USA MNP</t>
  </si>
  <si>
    <t>Israel mourns murdered teenagers, strikes Hamas in Gaza  .  Thousands of mourners gathered on Tuesday in an outpouring of national grief for the burial of three</t>
  </si>
  <si>
    <t>Spanish priest with Ebola flown back to Madrid  .  A Spanish priest who was diagnosed with the Ebola virus while working in Sierra Leone has been flown</t>
  </si>
  <si>
    <t>ESP SLE</t>
  </si>
  <si>
    <t>'Miracle in Manchester', New Zealand in shock at win over India  .  New Zealand's victory over heavy favourites India in the Cricket World Cup semi-finals was as surpri</t>
  </si>
  <si>
    <t>France admits it used torture in Algeria's independence war  .                      France admitted on Thursday that it instigated a "system" that led to torture d</t>
  </si>
  <si>
    <t>FRA DZA</t>
  </si>
  <si>
    <t>The war will be shifting to Kenya: al Shabaab  .  Somalia's Al-Qaeda linked Shabaab vowed to move their war to neighbouring Kenya, one of the top comm</t>
  </si>
  <si>
    <t>KEN SOM</t>
  </si>
  <si>
    <t>Spain catches fugitive British paedophile: Court  .  Spanish police arrested a 78-year-old British paedophile who was on the run and a judge on Sunday or</t>
  </si>
  <si>
    <t>ESP GBR</t>
  </si>
  <si>
    <t>Libyan officials criticise USA travel ban, doubt over February conference  .  Libya's UN-backed government has criticised USA President Donald Trump's temporary ban on its nationa</t>
  </si>
  <si>
    <t>South Sudan ex-ministers face corruption trial  .  Investigators recommended Thursday that two powerful South Sudanese ex-ministers face trial for a mu</t>
  </si>
  <si>
    <t>FBI extends FIFA scrutiny to World Cup host bids of Russia, Qatar  .  The FBI's investigation of bribery and corruption at FIFA includes scrutiny of how soccer's governin</t>
  </si>
  <si>
    <t xml:space="preserve">Tanzania poaching peaks, fuelled by Chinese ivory appetite  .  Tanzania has emerged as the world's largest exporter in the illegal ivory trade, largely fuelled by </t>
  </si>
  <si>
    <t>USA says no decision yet on unblocking Egypt aid  .  The USA administration is closely watching the results of Egypt's referendum, but has not yet decided</t>
  </si>
  <si>
    <t>Trump considering visit to India next month  .  USA President Donald Trump is considering visiting India next month, for what would be his first visi</t>
  </si>
  <si>
    <t>All eyes on Mohamed Salah as hopeful Egypt take on World Cup hosts Russia  .                      Egypt are counting on the return of Mohamed Salah on Tuesday as they try to sal</t>
  </si>
  <si>
    <t>EGY RUS</t>
  </si>
  <si>
    <t>Shrien Dewani marks fourth anniversary of marriage in court for Anni's murder  .  Today, exactly four years ago, British businessman Shrien Dewani married his beautiful Swedish bride</t>
  </si>
  <si>
    <t>GBR SWE</t>
  </si>
  <si>
    <t>Japan sends 331 kg of weapons grade plutonium to US: Greenpeace  .  A ship loaded with weapons-grade plutonium left Japan for the United States in what is the largest s</t>
  </si>
  <si>
    <t>North Korea threatens to cancel USA summit  .                      North Korea threatened on Wednesday to cancel the forthcoming summit between le</t>
  </si>
  <si>
    <t>USA warns of 'tough choices' in Iran nuclear talks  .  Iran and the United States go into a second day of talks on Tehran's contested nuclear programme, wi</t>
  </si>
  <si>
    <t>USA approves $785 million bomb sale to UAE ally against Islamic State  .  The USA State Department has approved the sale of $785 million in bombs to the United Arab Emirates f</t>
  </si>
  <si>
    <t>USA ARE</t>
  </si>
  <si>
    <t>Germany says 'violent fantasies' cross line in Ukraine crisis  .  Germany said Wednesday that Ukraine's former prime minister Yulia Tymoshenko had crossed a line with</t>
  </si>
  <si>
    <t>Experts: Cuba arms shipment explanation troubling  .  North Korea on Wednesday repeated Cuba's assertion that the antiquated weapons systems found on a ca</t>
  </si>
  <si>
    <t>CUB PRK</t>
  </si>
  <si>
    <t>MotoGP cancels races but still hopes for July start  .  MotoGP's German, Dutch and Finnish Grands Prix in June and July have been cancelled due to the Covid</t>
  </si>
  <si>
    <t>NLD FIN</t>
  </si>
  <si>
    <t>No USA plan to cut off Egypt military aid yet: Hagel  .  Defense Secretary Chuck Hagel said that he opposes cutting off USA military aid to Egypt but vowed Wa</t>
  </si>
  <si>
    <t>Russia to deliver verdict in spy trial of USA ex-marine  .  A Russian court on Monday will deliver a verdict in the trial of former USA marine Paul Whelan who ri</t>
  </si>
  <si>
    <t>Rio 'ticket scalping' probe widens  .  Ireland's top four Olympic officials have been barred from leaving Brazil as police expanded their i</t>
  </si>
  <si>
    <t>IRL BRA</t>
  </si>
  <si>
    <t>Thailand raises shipwreck that killed 47 tourists, hopes to restore confidence  .                      Thailand on Saturday raised the shipwreck that killed 47 Chinese tourists in Ju</t>
  </si>
  <si>
    <t>Drone strike kills five suspected militants in northwest Pakistan  .  A USA drone strike in Pakistan's northwestern Shawal Valley has killed at least five militants, three</t>
  </si>
  <si>
    <t>UK's Cameron says still needs to convince lawmakers to back Syria air strikes  .  Prime Minister David Cameron said on Monday he wanted Britain to carry out air strikes against Islam</t>
  </si>
  <si>
    <t>Namibia to send 10 rhinocerous, five elephants to Cuba zoo  .  Namibia will airlift 10 rhinoceros and five elephants to Cuba in September, concluding a massive tra</t>
  </si>
  <si>
    <t>NAM CUB</t>
  </si>
  <si>
    <t>Iran’s Rouhani: Khashoggi murder unthinkable ‘without USA backing’  .                      Saudi journalist Jamal Khashoggi's "heinous murder" would have been unthinkable</t>
  </si>
  <si>
    <t xml:space="preserve">Iran's Rouhani kicks off first post-sanctions tour in Italy  .  Iranian President Hassan Rouhani arrives Monday in Italy, beginning his first European tour since a </t>
  </si>
  <si>
    <t>Maldives debris not from MH370: Malaysia  .  A Malaysian team inspecting debris that washed up in the Maldives has so far found nothing that came</t>
  </si>
  <si>
    <t>MDV MYS</t>
  </si>
  <si>
    <t xml:space="preserve">Pope Francis will not visit Northern_Ireland on Irish trip  .                      Pope Francis will not visit British-ruled Northern_Ireland this summer when he </t>
  </si>
  <si>
    <t>Syria rebels deny Russia sarin accusation  .  The mainstream rebel Free Syrian Army accused Moscow of lying on Wednesday, when it said it had evid</t>
  </si>
  <si>
    <t>Live anthrax found in USA military shipment to Australia  .  Live anthrax has been found in a 2008 sample sent to Australia from the same USA  Army facility iden</t>
  </si>
  <si>
    <t>USA AUS</t>
  </si>
  <si>
    <t>Senegal star Mane reveals 'absolute dream' as Tunisia loom  .  Senegal star Sadio Mane says helping Liverpool win the Champions League was special, but his “absolu</t>
  </si>
  <si>
    <t>SEN TUN</t>
  </si>
  <si>
    <t>South Korea to close Japan-funded 'comfort women' foundation  .                      South Korea on Wednesday announced the formal shutdown of a controversial Japan</t>
  </si>
  <si>
    <t>USA -China relations are stable  .  China's ties with the United States remain stable, Chinese President Xi Jinping said on Sunday, as h</t>
  </si>
  <si>
    <t>USA pledges aid as Ban warns of Gaza 'tinderbox'  .  USA Secretary of State John Kerry pledged $212 million in aid to Gaza at a donors meeting in Cairo Su</t>
  </si>
  <si>
    <t xml:space="preserve">Russia readies tighter customs if Ukraine signs EU deal - report  .  Russia is preparing tighter customs controls with Ukraine in case Kiev makes the "suicidal" move of </t>
  </si>
  <si>
    <t>India poachers kill rhino soon after royal couple visit  .  Poachers shot dead a rhinoceros at a wildlife park in northeast India hours after Britain's Prince W</t>
  </si>
  <si>
    <t>Egypt Air hijacker threatened to detonate explosives belt: Egypt civil aviation  .  An Egyptian airliner hijacked Tuesday and diverted to Cyprus has 55 passengers and seven crew member</t>
  </si>
  <si>
    <t>EGY CYP</t>
  </si>
  <si>
    <t xml:space="preserve">Germany arrests three Shabab suspects from Kenya  .  Three German men were arrested at the weekend when they flew home from Kenya, on suspicion of being </t>
  </si>
  <si>
    <t>DEU KEN</t>
  </si>
  <si>
    <t>China slams Japan defence spending plan  .  China has denounced Japan's plans to boost military purchases, accusing it of playing up regional te</t>
  </si>
  <si>
    <t>China to donate fuel to Nepal: official  .  China will supply Nepal with 1.3 million litres of fuel to ease crippling shortages after protests o</t>
  </si>
  <si>
    <t>CHN NPL</t>
  </si>
  <si>
    <t>Trump attacks USA diplomat as she testifies in impeachment probe  .  President Donald Trump on Friday tweeted an attack against the former USA ambassador to Ukraine while</t>
  </si>
  <si>
    <t>Nobel medicine prize to cancer therapy by Japanese and USA scientist  .                      Two immunologists, Tasuku Honjo of Japan and James Allison of the US, have won</t>
  </si>
  <si>
    <t>Trump on Russia meddling in USA election: 'I don't believe it'  .  President-elect Donald Trump dismissed a brewing storm over Russian cyber meddling in the USA electio</t>
  </si>
  <si>
    <t>Syrian minister calls chemical weapons deal a Russian-won "victory" over USA  .  Syria's Minister for National Reconciliation said on Sunday that the chemical weapons agreement betw</t>
  </si>
  <si>
    <t>USA navy aircraft crashes in Philippine Sea, both pilots rescued  .                      A USA F/A 18 fighter jet crashed in the Philippine Sea on Monday after experienc</t>
  </si>
  <si>
    <t>Obama, Putin spar over Syria  .  Russian President Vladimir Putin and his USA counterpart Barack Obama sparred over the crisis in Syri</t>
  </si>
  <si>
    <t>Air strikes coming: West must be clear about its objectives  .  The Times Editorial: It now seems certain that the US, supported by its allies Britain and France, w</t>
  </si>
  <si>
    <t>COG</t>
  </si>
  <si>
    <t>Total</t>
  </si>
  <si>
    <t>farsi (persian)</t>
  </si>
  <si>
    <t>ARG_nacion</t>
  </si>
  <si>
    <t xml:space="preserve">España: atraían ancianos, los encerraban y les robaban para construir un complejo turístico en la playa  .        Una pareja formada por una cubana llamada Estrella y por un cubano alemán llamado Markus, se </t>
  </si>
  <si>
    <t>Maestros de la Escuela Nacional de Ballet de Cuba montarán 'El lago de los cisnes' en Costa Rica  .  La vicedirectora de la institución Martha Iris Fernández y el maestro Daniel Alejandro Sené conversa</t>
  </si>
  <si>
    <t>Hong Kong-China, un partido de alto riesgo: los hinchas no podr&amp;#xE1;n cruzarse "ni en los ba&amp;#xF1;os"  .        Se enfrentarán este martes por las eliminatorias asiáticas; se teme que los enfrentamientos p</t>
  </si>
  <si>
    <t>Comenz&amp;#xF3; el Preol&amp;#xED;mpico y la Argentina no tuvo problemas ante Colombia  .        El seleccionado que dirige Julio Velasco se impuso 3 a 0; este sábado, ante Chile, irá por ot</t>
  </si>
  <si>
    <t>Hasta China, principal aliado de Corea del Norte, rechaza la prueba nuclear de Kim  .        El gobierno de Xi Jinping convocará al embajador de Pyongyang para expresarle su "protesta so</t>
  </si>
  <si>
    <t>Vladimir Putin dice que Estados Unidos "quiere someter" a Rusia  .        "Ellos no quieren humillarnos, ellos quieren someternos, resolver sus problemas a costa nuest</t>
  </si>
  <si>
    <t>Catar expresa interés en invertir en turismo en Costa Rica  .  Catar, un rico país árabe de 11.586 metros cuadrados con una producción   per cápita de $73.700 anua</t>
  </si>
  <si>
    <t>Putin ordena suspender los vuelos de Rusia a Egipto por recomendaci&amp;#xF3;n del servicio secreto  .        El presidente ruso dio luz verde a la recomendación del ex KGB y ordenó "garantizar el regres</t>
  </si>
  <si>
    <t>Provocación nuclear de Norcorea ‘no será tolerada’  .  La presidenta de Corea del Sur, Park Geun-hye, dijo en México que la comunidad internacional está de</t>
  </si>
  <si>
    <t>Crisis con Corea del Norte 'es grave', dice jefe militar de Estados Unidos  .  La crisis de Estados Unidos con Corea del Norte ha llegado a un punto  tan peligroso que el comandan</t>
  </si>
  <si>
    <t>EN VIVO: para Alemania y Estados Unidos alcanza con el empate  .        Si terminan igualados, seguirán en el Mundial; si alguno gana, deberán esperar al resultado d</t>
  </si>
  <si>
    <t>Air Costa Rica realizará su primer vuelo a Guatemala en noviembre  .  La aerolínea costarricense Air Costa Rica realizará su primer vuelo regular hacia Guatemala en novie</t>
  </si>
  <si>
    <t>Viktor Yanukovich, desde Rusia: "Nadie me derrocó, fui forzado a salir de Ucrania"  .  Refugiado, el ex mandatario insistió en que "no abandonará la lucha por el futuro de su país" durant</t>
  </si>
  <si>
    <t>Argentina-Sudáfrica, Mundial Sub 20: horario, TV y formaciones  .        Argentina debuta ante Sudáfrica en el Mundial Sub 20 de Polonia, en busca de reencontrarse co</t>
  </si>
  <si>
    <t xml:space="preserve">El gobierno de Corea del Norte dice que Estados Unidos le declaró la guerra  .  </t>
  </si>
  <si>
    <t>Francia imputa a sospechoso clave de atentados de París y Bruselas  .  Abrini, que había sido detenido en abril en Bélgica, fue cedido el lunes  por las autoridades de ese</t>
  </si>
  <si>
    <t xml:space="preserve">estados unidos analiza enviar m&amp;#xE1;s tropas a Irak para su lucha contra Estado Isl&amp;#xE1;mico  .        La Casa Blanca anunciaría hoy su plan de enviar a 400 militares e instalarían una nueva base </t>
  </si>
  <si>
    <t>En fotos: el poder de las m&amp;#xE1;quinas y los dragones  .        Long Ma es un evento que  combina la cultura china y el arte francés, se celebró en Beijing e</t>
  </si>
  <si>
    <t>Disputa entre Bolivia y Chile por uso de manantial  .  Bolivia decidió plantear una demanda contra Chile ante la Corte Internacional de Justicia de La Haya</t>
  </si>
  <si>
    <t>Colombia: detienen a una hondure&amp;#xF1;a con coca&amp;#xED;na l&amp;#xED;quida en sus implantes mamarios  .        La mujer de 22 años intentaba viajar a España en avión con 1,5 kilos de droga dentro de sus s</t>
  </si>
  <si>
    <t>China: confiscan 620 tortugas introducidas ilegalmente para ser cocinadas  .        La policía de un puesto fronterizo con Vietnam encontró un cargamento con animales protegidos</t>
  </si>
  <si>
    <t>Costa Rica tiene en sus manos darle la estocada a Honduras  .  Si los catrachos pierden este martes contra la Tricolor, se quedarían con tres puntos en cuatro jueg</t>
  </si>
  <si>
    <t>China y Estados Unidos anuncian un "acuerdo hist&amp;#xF3;rico" por el cambio clim&amp;#xE1;tico  .        El presidente chino Xi Jinping ratificó el compromiso de su país a reducir los niveles contam</t>
  </si>
  <si>
    <t>Cinco nuevos sitios son Patrimonio de la Humanidad  .  Archipiélago en México y conjunto arquitectónico en Brasil figuran entre las cinco nuevas incorporac</t>
  </si>
  <si>
    <t>Prisi&amp;#xF3;n para el padre que puso a su hijo dentro de una valija para viajar a Espa&amp;#xF1;a  .        El hombre de Costa de Marfil le habría pagado a una adolescente en Marruecos para hacer viaja</t>
  </si>
  <si>
    <t>Javier Mascherano y el Mundial: &amp;#x201C;Del 15 de junio para adelante no hay margen de error&amp;#x201D;  .        El mediocampista de la selección dijo que a partir del debut ante Bosnia en Brasil 2014, la A</t>
  </si>
  <si>
    <t>Fuente anónima filtró los Papeles de Panamá a diario alemán 'Süddeutsche Zeitung'  .  La filtración por parte de una fuente anónima de 11,5 millones de documentos del bufete panameño Mos</t>
  </si>
  <si>
    <t>Ingresaron dos toneladas de marihuana en bote a Misiones desde Paraguay  .        La mercancía fue secuestrada en la localidad misionera de Puerto Rico, tras haber ingresado p</t>
  </si>
  <si>
    <t>Honduras firma contrato para convertir base militar de estados unidos en aeropuerto civil  .  El presidente de Honduras, Juan Orlando Hernández, firmó este jueves con  el consorcio germano-hondu</t>
  </si>
  <si>
    <t>China y la India acuerdan "reducir la tensión" tras un sangriento enfrentamiento  .  NUEVA DELHI.- China e India acordaron el miércoles "reducir la tensión" en la frontera tras un sangr</t>
  </si>
  <si>
    <t>Inc&amp;#xF3;modo encuentro entre Barack Obama y Vladimir Putin en Francia  .        En los festejos del 70 aniversario del Día D, la reina de Reino Unido sirvió de "escudo" para</t>
  </si>
  <si>
    <t xml:space="preserve">"Guerra de espías" entre Cuba y estados unidos  .  </t>
  </si>
  <si>
    <t>Terremoto en México: ¿Cómo ayudar desde Costa Rica?  .  La mejor forma es hacer una donación solidaria a través de la Cruz Roja.  </t>
  </si>
  <si>
    <t>Vuelva a gritar los goles de la Roja ante Venezuela  .  Se sufrió, pero finalmente Chile consiguió un emotivo contundente triunfo 4-1 en su visita a Venezue</t>
  </si>
  <si>
    <t>Venezuela emiti&amp;#xF3; pasaportes diplom&amp;#xE1;ticos para dos "asesores" que blanquearon dinero en Andorra  .        Según una investigación publicada en El Mundo, dos presuntos empleados del Ministerio de Econ</t>
  </si>
  <si>
    <t>El ambicioso ascensor de 20 Km para viajar al espacio  .        Una empresa canadiense logró obtener la patente en Estados Unidos y Reino Unido para hacer es</t>
  </si>
  <si>
    <t>Italia convoca al embajador de Austria por anuncio de despliegue militar contra migrantes  .  El gobierno italiano convocó al embajador de Austria tras el anuncio del  despliegue de soldados a l</t>
  </si>
  <si>
    <t>Advierten que salida del Reino Unido de la UE afectará a Gibraltar y Malvinas  .  Informe parlamentario asegura que si Londres dice adió a la Unión Europea, Argentina tendrá más impu</t>
  </si>
  <si>
    <t>China condena disparo de misil norcoreano y llama a la moderación  .  China condenó este sábado el segundo disparo en un mes por Corea del  Norte de un misil balístico in</t>
  </si>
  <si>
    <t>Jurgen Klopp se maravilló con Medel en Copa América y lo quiere en Liverpool  .  El carismático entrenador alemán presenció la final entre la Roja y Argentina en Estados Unidos, que</t>
  </si>
  <si>
    <t>Japón despliega sistema de defensa antimisiles tras amenazas de Corea del Norte  .  Japón desplegó este sábado su sistema de defensa antimisiles Patriot de  diseño estadounidense luego</t>
  </si>
  <si>
    <t>Qué dice el comunicado de la Casa Blanca sobre el encuentro entre Donald Trump y Xi Jinping  .        El presidente de Estados Unidos, Donald Trump, y el presidente de China, Xi Jinping, acaban d</t>
  </si>
  <si>
    <t>Coronavirus: la China Suárez salió de compras con barbijo en Uruguay  .  Instalada en Carmelo, Uruguay, junto a sus dos hijas, la China Suárez toma medidas para protegerse d</t>
  </si>
  <si>
    <t xml:space="preserve">El raro "f&amp;#xF3;sil viviente" capturado en las costas de Australia  .        Un extraño tiburón anguila (Chlamydoselachus anguineus) fue atrapado en la costa del sureste </t>
  </si>
  <si>
    <t>El punto m&amp;#xE1;s incre&amp;#xED;ble en el voleibol de los Panamericanos  .        En el partido entre Canadá y México se jugó uno de los mejores tantos del campeonato</t>
  </si>
  <si>
    <t>AMIA, Nisman, Hezbollah y el conflicto entre Israel y Palestina: las definiciones de Fernández en su primer viaje  .        El primer viaje internacional del presidente de la Nación, Alberto Fernández, a Israel se con</t>
  </si>
  <si>
    <t>Finalmente la Copa &amp;#xC1;frica se jugar&amp;#xE1; en Guinea Ecuatorial  .        Luego de la renuncia de Marruecos, la Confederación Africana designó al pequeño país del cent</t>
  </si>
  <si>
    <t xml:space="preserve">Colombia lleg&amp;#xF3; a Buenos Aires para completar su preparaci&amp;#xF3;n para el Mundial  .        El técnico José Pekerman optó por evitar hablar sobre su futuro luego de la cita en Brasil y </t>
  </si>
  <si>
    <t>La odisea del busto de Napoleón esculpido por Rodin y olvidado en Estados Unidos  .  Obra que se creía perdida apareció en un pueblo de Nueva Jersey y podría valer de $4 a $12 millones</t>
  </si>
  <si>
    <t>La Justicia autorizó a Carlos Menem a viajar a Punta del Este  .  El ex presidente tiene una condena por el tráfico de armas a Croacia y Ecuador; solicitó permiso par</t>
  </si>
  <si>
    <t xml:space="preserve">Escudo antimisiles en Europa crea tensión entre Rusia y Estados Unidos  .  La construcción de un escudo antimisiles de la OTAN en Europa, que Rusia percibe como una amenaza a </t>
  </si>
  <si>
    <t>Acusan a Joseph Blatter de venderle derechos de TV a Jack Warner por precios irrisorios  .        Un medio suizo dio a conocer que Warner adquirió los derechos de Sudáfrica 2010 y Brasil 2014</t>
  </si>
  <si>
    <t>Decime qu&amp;#xE9; se siente: las burlas de Brasil p&amp;#xF3;r la ag&amp;#xF3;nica victoria ante Suiza  .        Hay burlas hacia el Papa, Messi y Mascherano</t>
  </si>
  <si>
    <t>Mundial de básquet: Serbia o España, los duros rivales con los que podría jugar Argentina en cuartos de final  .        Con la clasificación asegurada a los cuartos de final del Mundial de básquet, Argentina ya pu</t>
  </si>
  <si>
    <t>Siempre Hamilton: el piloto de Mercedes consigui&amp;#xF3; la pole para el Gran Premio de Monza  .        El inglés quedó primero, delante de la Ferrari del finlandés Kimi Raikkonen y el alemán Sebas</t>
  </si>
  <si>
    <t xml:space="preserve">Aviación Civil investiga a Veca Airlines por suspensión de vuelos  .  El pasado 17 de enero, Veca suspendió su único vuelo diario desde  Costa Rica hacia El Salvador, en </t>
  </si>
  <si>
    <t>México: llueven las críticas para Gerardo Martino, pese a que México es finalista de la Copa de Oro  .        La misma noche que la selección argentina perdió ante Brasil una de las semifinales de la Cop</t>
  </si>
  <si>
    <t>Los Leones se recuperaron y vencieron, con autoridad, al local India  .        Luego de la derrota en el debut ante Holanda, el equipo argentino se impuso por 4-2 y se ilus</t>
  </si>
  <si>
    <t xml:space="preserve">Así es el ICBM, el misil que lanzó Corea del Norte y que enojó a Estados Unidos  .  </t>
  </si>
  <si>
    <t xml:space="preserve">Mundial de Espa&amp;#xF1;a: El Dream Team aplast&amp;#xF3; a Finlandia por 114-55  .        Estados Unidos registró la victoria más abultada desde 1990 en certamenes ecuménicos; además </t>
  </si>
  <si>
    <t>Las FARC suspenden el diálogo de paz con el gobierno de Colombia  .  En Cuba, la guerrilla comunicó que realizarán "una pausa" para estudiar la propuesta de un referendo</t>
  </si>
  <si>
    <t>El francés Arsène Wenger pronostica el final del reinado de Lionel Messi y Cristiano Ronaldo  .  Arsène Wenger, célebre ex entrenador de Arsenal, de Inglaterra, pronosticó el final de la dinastía c</t>
  </si>
  <si>
    <t>Al menos 10.000 muertos por el supertifón que azotó a Filipinas  .  Es la estimación del número de víctimas que realizó el gobierno local por el paso de Haiyan; Vietnam</t>
  </si>
  <si>
    <t>Maltrato animal: murieron 38 cachorros de bulldog francés en un vuelo comercial  .  Unos 38 cachorros de bulldog francés aparecieron muertos a bordo de un avión procedente de Ucrania e</t>
  </si>
  <si>
    <t>Una jornada brillante para una Costa Rica opaca  .  Las dos unidades  que la Selección cedió en casa con Panamá, el jueves anterior, prácticamente los r</t>
  </si>
  <si>
    <t>Coronavirus: la batalla entre Francia y Estados Unidos por los barbijos chinos  .  PARÍS.- En la desesperante necesidad de hacerse con todos los barbijos que les sea posible para enfr</t>
  </si>
  <si>
    <t>Estado Islámico toma varias localidades en Siria cerca de la frontera con Turquía  .  Los yihadistas del grupo Estado Islámico (EI) se hicieron con el  control de varias localidades de l</t>
  </si>
  <si>
    <t>En vivo: Costa Rica está ganando 1-3 ante Rusia  .  La Selección Nacional vence a los rusos con tantos de buena factura de Rándall Azofeifa y Bryan Ruiz</t>
  </si>
  <si>
    <t xml:space="preserve">Irán analiza restablecer los vuelos directos a Estados Unidos  .  Después de su conversación telefónica con Obama, Rohani ordenó a las autoridades de aviación volver </t>
  </si>
  <si>
    <t>Coronavirus: ¿Por qué Uruguay todavía no registra casos de esta enfermedad?  .  Mientras se detectan los primeros casos autóctonos de coronavirus en Brasil y se producen nuevos con</t>
  </si>
  <si>
    <t>Falsa embajada de Estados Unidos vendió visas fraudulentas por una década en Ghana  .  El Departamento de Estado de Estados Unidos informó que cerró una embajada falsa en la capital de Gh</t>
  </si>
  <si>
    <t>A Herediano le alcanza su plantel para jugar en México y Guatemala el mismo día  .  El equipo 'A' de Herediano, bajo el mando del técnico Hernán Medford,  se medirá con  los Rayados de</t>
  </si>
  <si>
    <t>La extraordinaria historia del resort turístico manejado por espías de Israel  .        Un paradisíaco complejo veraniego en las orillas del Mar Rojo en Sudán fue la insólita base d</t>
  </si>
  <si>
    <t>El relato de la periodista de LA NACION que vuela a Brasil junto al papa Francisco  .  La corresponsal en Italia, Elisabetta Piqué, mostró por Twitter fotos del avión especialmente prepar</t>
  </si>
  <si>
    <t>Nico Rosberg se quedó con la pole del Gran Premio de Rusia  .  El piloto alemán que defiende a la escudería Mercedes arrancará en el primer puesto en la competenci</t>
  </si>
  <si>
    <t>La agenda de la TV y series: un documental de la Generación Dorada, el histórico tercer puesto de Los Pumas y España campeona en Sudáfrica 2010  .  La televisión en tiempo de cuarentena es una variante para combatir contra el aburrimiento, incluido</t>
  </si>
  <si>
    <t>FMI revisa a la baja la proyección de crecimiento para Latinoamérica  .  Arrastrada por Brasil y Venezuela, América Latina y el Caribe registrará en 2016 un segundo año de d</t>
  </si>
  <si>
    <t>Francia: el tirador dentro del tren bala viaj&amp;#xF3; a Siria para entrenarse  .        El hombre marroquí detenido ayer por un ataque con un fusil dentro de un tren de alta velocid</t>
  </si>
  <si>
    <t>Holanda se sumó al pedido de liberación de los 30 activistas ambientales detenidos  .  Ese gobierno iniciará procesos de arbitraje contra Rusia; Putin dijo que no ordenó procesar a los tr</t>
  </si>
  <si>
    <t>Costa Rica cayó 2-1 en penales en el premundial de fútbol playa  .  El combinado patrio se mide este miércoles a la representación de Islas Turcas y Caicos, a partir de</t>
  </si>
  <si>
    <t>(Video) ONU, Alemania e Irak critican decreto de Trump sobre migración  .  La canciller alemana, Ángela Merkel, y el secretario General de las Naciones Unidas son algunos de l</t>
  </si>
  <si>
    <t>La familia que mand&amp;#xF3; a sus cinco hijos a la guerra  .        El 14 de junio se cumplen 80 años del cese de hostilidades entre Bolivia y Paraguay tras la G</t>
  </si>
  <si>
    <t xml:space="preserve">Rusia le corta el suministro de gas a Ucrania y le impone un sistema de prepago  .        La medida fue anunciada por la empresa estatal rusa Gazprom, que reclama a Kiev una deuda de </t>
  </si>
  <si>
    <t>Tres filmes  de Costa Rica se exhibirán en  el Festival de Biarritz  .  Prestigioso festival francés mostrará filmes de Paz Fábrega, Neto Villalobos y Ariel Escalante en in</t>
  </si>
  <si>
    <t>Hace 40 años, Diego Armando Maradona hizo en Colombia el mejor gol de su carrera  .  Los dos goles que Diego Armando Maradona le marcó a Inglaterra en los cuartos de final del Mundial d</t>
  </si>
  <si>
    <t>ONU denuncia acoso de Birmania a rohinyás como 'ejemplo de limpieza étnica'  .  El número de musulmanes   rohinyás   que se refugiaron en Bangladés  para huir de la violencia en Bi</t>
  </si>
  <si>
    <t xml:space="preserve">Turquía: intentan secuestrar un avión y llevarlo a una sede de Juegos Olímpicos de Invierno  .  Un pasajero amenazó con explotar un artefacto si la aeronave, procedente de Ucrania, no desviaba su </t>
  </si>
  <si>
    <t>Hungría construirá una segunda valla para contener migrantes desde Serbia  .  El primer ministro húngaro, el conservador Viktor Orban, anunció el viernes la construcción de una s</t>
  </si>
  <si>
    <t>Estados Unidos: tiroteo en un centro comercial de Nueva Jersey  .  Una persona abrió fuego poco antes de la hora de cierre y el shopping debió ser evacuado</t>
  </si>
  <si>
    <t>Colombia denuncia abusos sexuales a ni&amp;#xF1;as y mujeres en medio de la crisis con Venezuela  .        Una funcionaria de la Procuraduría General que fue a la frontera llamó a "respetar la integri</t>
  </si>
  <si>
    <t xml:space="preserve">Turquía compra a Rusia sistema de defensa S-400  .  Esta compra de material militar, en particular de un sistema de defensa antimisiles, a un proveedor </t>
  </si>
  <si>
    <t xml:space="preserve">estados unidos relaja los viajes a Cuba y avanza la distensión  .  </t>
  </si>
  <si>
    <t>Recuperan a otra niña de un campamento de gitanos  .  El nuevo operativo policial tuvo lugar en Irlanda y se suma al caso en Grecia del "angel rubio", que</t>
  </si>
  <si>
    <t>Mundial de básquet. Nando De Colo, el cerebro de Francia, y los cuidados para jugar la semifinal ante la Argentina  .        DONGGUAN, China.- El gesto de Gregg Popovich y Steve Kerr marcan el pulso. El golpe de Franci</t>
  </si>
  <si>
    <t>Rusia lanz&amp;#xF3; 20 nuevos ataques en Siria: destruy&amp;#xF3; arsenales de EI y un centro de mando  .        Rusia reiteró que el único objetivo de su campaña es "acabar con los jihadistas"; los ataques</t>
  </si>
  <si>
    <t>¿Duerme el gigante? Se desacelera el crecimiento económico de China  .        La guerra comercial con estados unidos es solo parte del problema</t>
  </si>
  <si>
    <t>Temblor de 8 grados  deja al menos dos muertos en México  .  Un sismo de magnitud 8 sacudió el sur de México, informó el Instituto Geológico de Estados Unidos (U</t>
  </si>
  <si>
    <t>Mueren altos miembros de Hezbollah en un bombardeo israel&amp;#xED;  .        Seis milicianos del grupo libanés murieron durante la ofensiva sobre el Golán sirio, entre el</t>
  </si>
  <si>
    <t>Ofensiva contra el Estado Islámico aísla cada vez más la ciudad de Mosul, Irak  .  Un ataque aéreo de la coalición liderada por Estados Unidos   "inhabilitó"  el cuarto puente sobre e</t>
  </si>
  <si>
    <t>Donald Trump logra  contratos por más de $380.000 millones en  Arabia Saudí  .  El primer viaje del presidente de Estados Unidos, Donald Trump, al  extranjero comenzó el sábado con</t>
  </si>
  <si>
    <t>CUB CRI</t>
  </si>
  <si>
    <t>COL CHL</t>
  </si>
  <si>
    <t>QAT CRI</t>
  </si>
  <si>
    <t>KOR MEX</t>
  </si>
  <si>
    <t>CRI GTM</t>
  </si>
  <si>
    <t>ZAF POL</t>
  </si>
  <si>
    <t>CHN FRA</t>
  </si>
  <si>
    <t>BOL CHL</t>
  </si>
  <si>
    <t>COL ESP</t>
  </si>
  <si>
    <t>CRI HND</t>
  </si>
  <si>
    <t>MEX BRA</t>
  </si>
  <si>
    <t>CIV MAR</t>
  </si>
  <si>
    <t>BIH BRA</t>
  </si>
  <si>
    <t>PAN DEU</t>
  </si>
  <si>
    <t>PRY PRI</t>
  </si>
  <si>
    <t>HND USA</t>
  </si>
  <si>
    <t>MEX CRI</t>
  </si>
  <si>
    <t>VEN CHL</t>
  </si>
  <si>
    <t>VEN AND</t>
  </si>
  <si>
    <t>ITA AUT</t>
  </si>
  <si>
    <t>GBR GIB</t>
  </si>
  <si>
    <t>CHN URY</t>
  </si>
  <si>
    <t>AUS AIA</t>
  </si>
  <si>
    <t>GNQ MAR</t>
  </si>
  <si>
    <t>HRV ECU</t>
  </si>
  <si>
    <t>ZAF BRA</t>
  </si>
  <si>
    <t>BRA CHE</t>
  </si>
  <si>
    <t>SRB ESP</t>
  </si>
  <si>
    <t>FIN DEU</t>
  </si>
  <si>
    <t>CRI SLV</t>
  </si>
  <si>
    <t>IND NLD</t>
  </si>
  <si>
    <t>CRI PAN</t>
  </si>
  <si>
    <t>CRI RUS</t>
  </si>
  <si>
    <t>URY BRA</t>
  </si>
  <si>
    <t>USA GHA</t>
  </si>
  <si>
    <t>MEX GTM</t>
  </si>
  <si>
    <t>ISR SDN</t>
  </si>
  <si>
    <t>ESP ZAF</t>
  </si>
  <si>
    <t>BRA VEN</t>
  </si>
  <si>
    <t>CRI TCA</t>
  </si>
  <si>
    <t>DEU IRQ</t>
  </si>
  <si>
    <t>BOL PRY</t>
  </si>
  <si>
    <t>CRI FRA</t>
  </si>
  <si>
    <t>COL GBR</t>
  </si>
  <si>
    <t>TUR UKR</t>
  </si>
  <si>
    <t>HUN SRB</t>
  </si>
  <si>
    <t>FRA CHN</t>
  </si>
  <si>
    <t xml:space="preserve">Espagne : ils attiraient des personnes âgées, les enfermaient et les volaient pour construire un complexe touristique sur la plage  .        Un couple composé d'une Cubaine nommée Estrella et d'un Cubano-Allemand nommé Markus, s'est </t>
  </si>
  <si>
    <t>Des professeurs de l'École nationale de ballet de Cuba présenteront « Le Lac des cygnes » au Costa Rica  .  La vice-directrice de l'institution, Martha Iris Fernández, et le professeur Daniel Alejandro Sené s'entretiennent</t>
  </si>
  <si>
    <t>Hong Kong-Chine, un match à haut risque : les supporters ne pourront pas se croiser « même aux toilettes »  .        Ils s'affronteront ce mardi dans le cadre des éliminatoires asiatiques ; on craint que les affrontements p</t>
  </si>
  <si>
    <t>Le tournoi préolympique a commencé et l'Argentine n'a pas rencontré de difficultés face à la Colombie  .        L'équipe dirigée par Julio Velasco s'est imposée 3 à 0 ; ce samedi, face au Chili, elle visera une autre</t>
  </si>
  <si>
    <t>Même la Chine, principal allié de la Corée du Nord, rejette l'essai nucléaire de Kim  .        Le gouvernement de Xi Jinping convoquera l'ambassadeur de Pyongyang pour lui exprimer sa « protestation solennelle</t>
  </si>
  <si>
    <t>Vladimir Poutine affirme que les États-Unis « veulent soumettre » la Russie  .        « Ils ne veulent pas nous humilier, ils veulent nous soumettre, résoudre leurs problèmes à nos dépens</t>
  </si>
  <si>
    <t>Le Qatar exprime son intérêt pour investir dans le tourisme au Costa Rica  .  Le Qatar, un riche pays arabe de 11 586 km² avec un produit   par habitant de 73 700 dollars par an</t>
  </si>
  <si>
    <t>Poutine ordonne la suspension des vols entre la Russie et l’Égypte sur recommandation des services secrets  .        Le président russe a donné son feu vert à la recommandation de l’ancien KGB et a ordonné de « garantir le retour</t>
  </si>
  <si>
    <t>La provocation nucléaire de la Corée du Nord « ne sera pas tolérée »  .  La présidente sud-coréenne, Park Geun-hye, a déclaré au Mexique que la communauté internationale est</t>
  </si>
  <si>
    <t>La crise avec la Corée du Nord « est grave », déclare le chef d’état-major américain  .  La crise entre les États-Unis et la Corée du Nord a atteint un point  si dangereux que le commandant</t>
  </si>
  <si>
    <t>EN DIRECT : un match nul suffit à l’Allemagne et aux États-Unis  .        S’ils terminent à égalité, ils resteront en Coupe du monde ; si l’un des deux gagne, ils devront attendre le résultat de</t>
  </si>
  <si>
    <t>Air Costa Rica effectuera son premier vol vers le Guatemala en novembre  .  La compagnie aérienne costaricaine Air Costa Rica effectuera son premier vol régulier vers le Guatemala en novembre</t>
  </si>
  <si>
    <t>Viktor Ianoukovitch, depuis la Russie : « Personne ne m’a renversé, j’ai été contraint de quitter l’Ukraine »  .  En exil, l’ancien dirigeant a insisté sur le fait qu’il « n’abandonnera pas la lutte pour l’avenir de son pays » pendant</t>
  </si>
  <si>
    <t>Argentine-Afrique du Sud, Coupe du monde U-20 : horaires, diffusion TV et compositions  .        L'Argentine fait ses débuts face à l'Afrique du Sud lors de la Coupe du monde U-20 en Pologne, dans l'espoir de renouer avec</t>
  </si>
  <si>
    <t xml:space="preserve">Le gouvernement nord-coréen affirme que les États-Unis lui ont déclaré la guerre  .  </t>
  </si>
  <si>
    <t>La France inculpe un suspect clé des attentats de Paris et de Bruxelles  .  Abrini, qui avait été arrêté en avril en Belgique, a été remis lundi  par les autorités de ce pays</t>
  </si>
  <si>
    <t>Les États-Unis envisagent d'envoyer davantage de troupes en Irak pour lutter contre l'État islamique  .        La Maison Blanche devrait annoncer aujourd'hui son projet d'envoyer 400 militaires et d'installer une nouvelle base</t>
  </si>
  <si>
    <t>En photos : la puissance des machines et des dragons  .        Long Ma est un événement qui  allie la culture chinoise et l'art français, il s'est tenu à Pékin et</t>
  </si>
  <si>
    <t>Différend entre la Bolivie et le Chili concernant l'utilisation d'une source  .  La Bolivie a décidé de porter plainte contre le Chili devant la Cour internationale de justice de La Haye</t>
  </si>
  <si>
    <t>Colombie : une Hondurienne arrêtée avec de la cocaïne liquide dans ses implants mammaires  .        La jeune femme de 22 ans tentait de se rendre en Espagne en avion avec 1,5 kg de drogue dans ses s</t>
  </si>
  <si>
    <t>Chine : 620 tortues introduites illégalement pour être consommées ont été saisies  .        La police d'un poste-frontière avec le Vietnam a découvert une cargaison d'animaux protégés</t>
  </si>
  <si>
    <t>Le Costa Rica a les cartes en main pour porter le coup de grâce au Honduras  .  Si les Catrachos s'inclinent ce mardi face à la Tricolor, ils ne totaliseraient que trois points en quatre matchs</t>
  </si>
  <si>
    <t>La Chine et les États-Unis annoncent un « accord historique » sur le changement climatique  .        Le président chinois Xi Jinping a réaffirmé l'engagement de son pays à réduire les niveaux de pollution</t>
  </si>
  <si>
    <t>Cinq nouveaux sites sont inscrits au patrimoine mondial  .  Un archipel au Mexique et un ensemble architectural au Brésil figurent parmi les cinq nouvelles inscriptions</t>
  </si>
  <si>
    <t>Prison pour le père qui a mis son fils dans une valise pour se rendre en Espagne  .        L'homme originaire de Côte d'Ivoire aurait payé une adolescente au Maroc pour qu'elle fasse le voyage</t>
  </si>
  <si>
    <t>Javier Mascherano et la Coupe du monde : « À partir du 15 juin, il n'y a plus de marge d'erreur »  .        Le milieu de terrain de l'équipe nationale a déclaré qu'à partir du premier match contre la Bosnie à Brésil 2014, l'A</t>
  </si>
  <si>
    <t>Une source anonyme a divulgué les Panama Papers au quotidien allemand « Süddeutsche Zeitung »  .  La fuite par une source anonyme de 11,5 millions de documents du cabinet panaméen Moss</t>
  </si>
  <si>
    <t>Deux tonnes de marijuana ont été introduites par bateau à Misiones depuis le Paraguay  .        La marchandise a été saisie dans la localité de Puerto Rico, dans la province de Misiones, après avoir été introduite p</t>
  </si>
  <si>
    <t>Le Honduras signe un contrat pour transformer une base militaire américaine en aéroport civil. Le président du Honduras, Juan Orlando Hernández, a signé ce jeudi avec le consortium germano-hondurien</t>
  </si>
  <si>
    <t>La Chine et l'Inde s'engagent à « apaiser les tensions » après un affrontement sanglant. NEW DELHI. – La Chine et l'Inde ont convenu mercredi d'« apaiser les tensions » à la frontière après un affrontement sanglant</t>
  </si>
  <si>
    <t>Rencontre tendue entre Barack Obama et Vladimir Poutine en France  .        Lors des célébrations du 70e anniversaire du Débarquement, la reine du Royaume-Uni a servi de « bouclier » pour</t>
  </si>
  <si>
    <t>« Guerre d'espionnage » entre Cuba et les États-Unis  .</t>
  </si>
  <si>
    <t xml:space="preserve">Tremblement de terre au Mexique : comment aider depuis le Costa Rica ?  .  La meilleure façon est de faire un don solidaire par l'intermédiaire de la Croix-Rouge.  </t>
  </si>
  <si>
    <t>Revivez les buts de la Roja face au Venezuela  .  Ce fut difficile, mais le Chili a finalement remporté une victoire émouvante et écrasante 4-1 lors de son déplacement au Venezuela</t>
  </si>
  <si>
    <t>Le Venezuela a délivré des passeports diplomatiques à deux « conseillers » qui ont blanchi de l'argent en Andorre  .        Selon une enquête publiée dans El Mundo, deux employés présumés du ministère de l'Économie</t>
  </si>
  <si>
    <t>L'ascenseur spatial ambitieux de 20 km pour voyager dans l'espace  .        Une entreprise canadienne a obtenu le brevet aux États-Unis et au Royaume-Uni pour réaliser ce projet</t>
  </si>
  <si>
    <t>L'Italie convoque l'ambassadeur d'Autriche suite à l'annonce d'un déploiement militaire contre les migrants. Le gouvernement italien a convoqué l'ambassadeur d'Autriche après l'annonce du déploiement de soldats à la</t>
  </si>
  <si>
    <t>On prévient que la sortie du Royaume-Uni de l'UE affectera Gibraltar et les Malouines. Un rapport parlementaire affirme que si Londres quitte l'Union européenne, l'Argentine aura plus de pouvoir</t>
  </si>
  <si>
    <t>La Chine condamne le tir de missile nord-coréen et appelle à la modération  .  La Chine a condamné samedi le deuxième tir en un mois par la Corée du  Nord d'un missile balistique inter</t>
  </si>
  <si>
    <t>Jürgen Klopp a été impressionné par Medel lors de la Copa América et le veut à Liverpool  .  Le charismatique entraîneur allemand a assisté à la finale entre la Roja et l'Argentine aux États-Unis, qui</t>
  </si>
  <si>
    <t>Le Japon déploie un système de défense antimissile face aux menaces de la Corée du Nord  .  Le Japon a déployé ce samedi son système de défense antimissile Patriot de  conception américaine après</t>
  </si>
  <si>
    <t>Que dit le communiqué de la Maison Blanche sur la rencontre entre Donald Trump et Xi Jinping  .        Le président des États-Unis, Donald Trump, et le président de la Chine, Xi Jinping, viennent de</t>
  </si>
  <si>
    <t>Coronavirus : China Suárez est sortie faire ses courses avec un masque en Uruguay  .  Installée à Carmelo, en Uruguay, avec ses deux filles, China Suárez prend des mesures pour se protéger contre</t>
  </si>
  <si>
    <t>L'étrange « squale vivant » capturé au large des côtes australiennes. Un étrange requin-anguille (Chlamydoselachus anguineus) a été capturé au large de la côte sud-est</t>
  </si>
  <si>
    <t>Le point le plus incroyable du tournoi de volley-ball des Jeux panaméricains  .        Lors du match entre le Canada et le Mexique, l'un des plus beaux points du championnat a été marqué</t>
  </si>
  <si>
    <t>AMIA, Nisman, le Hezbollah et le conflit israélo-palestinien : les prises de position de Fernández lors de son premier voyage  .        Le premier voyage international du président de la Nation, Alberto Fernández, en Israël s'est déroulé</t>
  </si>
  <si>
    <t>La Coupe d'Afrique se jouera finalement en Guinée équatoriale  .        Après le retrait du Maroc, la Confédération africaine a désigné ce petit pays d'Afrique centrale</t>
  </si>
  <si>
    <t xml:space="preserve">La Colombie est arrivée à Buenos Aires pour achever sa préparation en vue de la Coupe du monde  .        L'entraîneur José Pekerman a préféré éviter de parler de son avenir après le rendez-vous au Brésil et </t>
  </si>
  <si>
    <t>L'odyssée du buste de Napoléon sculpté par Rodin et oublié aux États-Unis  .  Une œuvre que l'on croyait perdue est réapparue dans une ville du New Jersey et pourrait valoir entre 4 et 12 millions de dollars</t>
  </si>
  <si>
    <t>La justice a autorisé Carlos Menem à se rendre à Punta del Este  .  L'ancien président est condamné pour trafic d'armes vers la Croatie et l'Équateur ; il a demandé l'autorisation de</t>
  </si>
  <si>
    <t xml:space="preserve">Le bouclier antimissile en Europe crée des tensions entre la Russie et les États-Unis. La construction d’un bouclier antimissile de l’OTAN en Europe, que la Russie perçoit comme une menace pour </t>
  </si>
  <si>
    <t>Joseph Blatter est accusé d’avoir vendu des droits télévisés à Jack Warner pour des prix dérisoires. Un média suisse a révélé que Warner avait acquis les droits pour l’Afrique du Sud 2010 et le Brésil 2014</t>
  </si>
  <si>
    <t>Dis-moi ce que ça fait : les railleries du Brésil après sa victoire in extremis contre la Suisse  .        Le pape, Messi et Mascherano sont la cible de railleries</t>
  </si>
  <si>
    <t>Coupe du monde de basket : la Serbie ou l'Espagne, les adversaires redoutables que l'Argentine pourrait affronter en quarts de finale.        Sa qualification pour les quarts de finale de la Coupe du monde de basket étant assurée, l'Argentine peut déjà</t>
  </si>
  <si>
    <t>Toujours Hamilton : le pilote Mercedes a décroché la pole position pour le Grand Prix de Monza  .        L'Anglais s'est classé premier, devant la Ferrari du Finlandais Kimi Raikkonen et l'Allemand Sebas</t>
  </si>
  <si>
    <t>L'aviation civile enquête sur Veca Airlines suite à la suspension de ses vols  .  Le 17 janvier dernier, Veca a suspendu son unique vol quotidien du  Costa Rica vers le Salvador, en</t>
  </si>
  <si>
    <t>Mexique : les critiques pleuvent sur Gerardo Martino, bien que le Mexique soit finaliste de la Gold Cup  .        Le soir même où la sélection argentine s'est inclinée face au Brésil lors d'une des demi-finales de la Cop</t>
  </si>
  <si>
    <t>Les Lions se sont repris et ont battu, avec autorité, l'équipe locale indienne  .        Après la défaite lors du match d'ouverture contre les Pays-Bas, l'équipe argentine s'est imposée 4-2 et se fait des illusions</t>
  </si>
  <si>
    <t xml:space="preserve">Voici l'ICBM, le missile lancé par la Corée du Nord qui a mis les États-Unis en colère  .  </t>
  </si>
  <si>
    <t>Championnat du monde en Espagne : la Dream Team a écrasé la Finlande 114-55  .        Les États-Unis ont enregistré leur plus large victoire depuis 1990 dans les compétitions mondiales ; de plus</t>
  </si>
  <si>
    <t>Les FARC suspendent le dialogue de paix avec le gouvernement colombien  .  À Cuba, la guérilla a annoncé qu'elle ferait « une pause » pour étudier la proposition d'un référendum</t>
  </si>
  <si>
    <t>Le Français Arsène Wenger prédit la fin du règne de Lionel Messi et Cristiano Ronaldo  .  Arsène Wenger, célèbre ancien entraîneur d'Arsenal, en Angleterre, a prédit la fin de la dynastie c</t>
  </si>
  <si>
    <t>Au moins 10 000 morts suite au super-typhon qui a frappé les Philippines  .  C'est l'estimation du nombre de victimes réalisée par le gouvernement local suite au passage de Haiyan ; Vietnam</t>
  </si>
  <si>
    <t>Maltraitance animale : 38 chiots de bouledogue français sont morts lors d'un vol commercial  .  Quelque 38 chiots de bouledogue français ont été retrouvés morts à bord d'un avion en provenance d'Ukraine et</t>
  </si>
  <si>
    <t>Une journée brillante pour un Costa Rica terne  .  Les deux buts  que la sélection a encaissés à domicile contre le Panama, jeudi dernier, les ont pratiquement</t>
  </si>
  <si>
    <t>Coronavirus : la bataille entre la France et les États-Unis pour les masques chinois  .  PARIS.- Dans le besoin désespéré de se procurer tous les masques possibles pour faire face</t>
  </si>
  <si>
    <t>L'État islamique s'empare de plusieurs localités en Syrie près de la frontière avec la Turquie  .  Les djihadistes du groupe État islamique (EI) ont pris le  contrôle de plusieurs localités de la</t>
  </si>
  <si>
    <t>En direct : le Costa Rica mène 1-3 face à la Russie  .  La sélection nationale bat les Russes grâce à de superbes buts de Rándall Azofeifa et Bryan Ruiz</t>
  </si>
  <si>
    <t xml:space="preserve">L'Iran envisage de rétablir les vols directs vers les États-Unis  .  Après sa conversation téléphonique avec Obama, Rohani a ordonné aux autorités aéronautiques de revenir </t>
  </si>
  <si>
    <t>Coronavirus : pourquoi l'Uruguay n'enregistre-t-il toujours aucun cas de cette maladie ?  .  Alors que les premiers cas autochtones de coronavirus sont détectés au Brésil et que de nouveaux cas apparaissent avec</t>
  </si>
  <si>
    <t>Une fausse ambassade des États-Unis a vendu des visas frauduleux pendant une décennie au Ghana  .  Le Département d'État américain a annoncé avoir fermé une fausse ambassade dans la capitale du Gh</t>
  </si>
  <si>
    <t>L'effectif d'Herediano est suffisant pour jouer au Mexique et au Guatemala le même jour  .  L'équipe « A » d'Herediano, sous la houlette de l'entraîneur Hernán Medford,  affrontera  les Rayados de</t>
  </si>
  <si>
    <t>L'histoire extraordinaire de la station balnéaire gérée par des espions israéliens. Un complexe estival paradisiaque sur les rives de la mer Rouge au Soudan a servi de base insolite à</t>
  </si>
  <si>
    <t>Le récit de la journaliste de LA NACION qui s'envole pour le Brésil aux côtés du pape François. La correspondante en Italie, Elisabetta Piqué, a publié sur Twitter des photos de l'avion spécialement préparé</t>
  </si>
  <si>
    <t>Nico Rosberg a décroché la pole position du Grand Prix de Russie  .  Le pilote allemand, qui défend les couleurs de l'écurie Mercedes, partira en tête de la course</t>
  </si>
  <si>
    <t>Le programme TV et séries : un documentaire sur la Génération d'Or, la troisième place historique des Pumas et l'Espagne championne en Afrique du Sud en 2010  .  La télévision en période de confinement est un moyen de lutter contre l'ennui, notamment</t>
  </si>
  <si>
    <t>Le FMI revoit à la baisse ses prévisions de croissance pour l'Amérique latine.  .  Entraînée par le Brésil et le Venezuela, l'Amérique latine et les Caraïbes enregistreront en 2016 une deuxième année de d</t>
  </si>
  <si>
    <t>France : le tireur à bord du TGV s'était rendu en Syrie pour s'entraîner  .        L'homme d'origine marocaine arrêté hier pour une attaque à l'arme à feu à bord d'un train à grande vitesse</t>
  </si>
  <si>
    <t>Les Pays-Bas se sont joints à la demande de libération des 30 militants écologistes détenus  .  Ce gouvernement va engager une procédure d'arbitrage contre la Russie ; Poutine a déclaré qu'il n'avait pas ordonné de poursuivre les tr</t>
  </si>
  <si>
    <t>Le Costa Rica s'est incliné 2-1 aux tirs au but lors des qualifications pour le championnat du monde de beach soccer  .  L'équipe nationale affrontera ce mercredi la sélection des îles Turques-et-Caïques, à partir de</t>
  </si>
  <si>
    <t>(Vidéo) L'ONU, l'Allemagne et l'Irak critiquent le décret de Trump sur l'immigration  .  La chancelière allemande, Angela Merkel, et le secrétaire général des Nations unies font partie des</t>
  </si>
  <si>
    <t>La famille qui a envoyé ses cinq enfants à la guerre  .        Le 14 juin marque le 80e anniversaire de la cessation des hostilités entre la Bolivie et le Paraguay après la G</t>
  </si>
  <si>
    <t xml:space="preserve">La Russie coupe l'approvisionnement en gaz de l'Ukraine et lui impose un système de prépaiement  .        La mesure a été annoncée par l'entreprise publique russe Gazprom, qui réclame à Kiev une dette de </t>
  </si>
  <si>
    <t>Trois films  du Costa Rica seront projetés au  Festival de Biarritz  .  Ce prestigieux festival français présentera des films de Paz Fábrega, Neto Villalobos et Ariel Escalante dans le cadre d'un</t>
  </si>
  <si>
    <t>Il y a 40 ans, Diego Armando Maradona a marqué en Colombie le plus beau but de sa carrière  .  Les deux buts que Diego Armando Maradona a marqués contre l'Angleterre en quarts de finale de la Coupe du monde d</t>
  </si>
  <si>
    <t>L'ONU dénonce le harcèlement des Rohingyas par la Birmanie comme un « exemple de nettoyage ethnique »  .  Le nombre de musulmans   rohingyas   qui se sont réfugiés au Bangladesh  pour fuir les violences en Bi</t>
  </si>
  <si>
    <t>Turquie : tentative de détournement d’un avion vers un site des Jeux olympiques d’hiver  .  Un passager a menacé de faire exploser un engin si l’avion, en provenance d’Ukraine, ne changeait pas de cap</t>
  </si>
  <si>
    <t>La Hongrie va construire une deuxième barrière pour contenir les migrants en provenance de Serbie  .  Le Premier ministre hongrois, le conservateur Viktor Orbán, a annoncé vendredi la construction d’une</t>
  </si>
  <si>
    <t>États-Unis : fusillade dans un centre commercial du New Jersey. Une personne a ouvert le feu peu avant la fermeture et le centre commercial a dû être évacué</t>
  </si>
  <si>
    <t>La Colombie dénonce des abus sexuels sur des filles et des femmes dans le contexte de la crise avec le Venezuela. Une fonctionnaire du bureau du procureur général qui s'est rendue à la frontière a appelé à « respecter l'intégrité</t>
  </si>
  <si>
    <t xml:space="preserve">La Turquie achète à la Russie un système de défense S-400  .  Cet achat de matériel militaire, en particulier d’un système de défense antimissile, auprès d’un fournisseur </t>
  </si>
  <si>
    <t>Les États-Unis assouplissent les restrictions de voyage vers Cuba et la détente progresse  .</t>
  </si>
  <si>
    <t>Une autre fillette est sauvée d’un campement de Roms  .  Cette nouvelle opération policière a eu lieu en Irlande et s’ajoute à l’affaire en Grèce de « l’ange blond », qui</t>
  </si>
  <si>
    <t>Coupe du monde de basket. Nando De Colo, le cerveau de la France, et les précautions pour disputer la demi-finale contre l’Argentine  .        DONGGUAN, Chine.- Le geste de Gregg Popovich et Steve Kerr donne le ton. Le coup de la France</t>
  </si>
  <si>
    <t>La Russie a lancé 20 nouvelles attaques en Syrie : elle a détruit des arsenaux de l'EI et un centre de commandement  .        La Russie a réaffirmé que le seul objectif de sa campagne est « d'en finir avec les djihadistes » ; les attaques</t>
  </si>
  <si>
    <t>Le géant dort-il ? La croissance économique de la Chine ralentit  .        La guerre commerciale avec les États-Unis n’est qu’une partie du problème</t>
  </si>
  <si>
    <t>Un séisme de magnitude 8  fait au moins deux morts au Mexique  .  Un séisme de magnitude 8 a secoué le sud du Mexique, a indiqué l’Institut géologique des États-Unis (U</t>
  </si>
  <si>
    <t>Des hauts responsables du Hezbollah tués lors d'un bombardement israélien  .        Six miliciens du groupe libanais ont trouvé la mort lors de l'offensive sur le Golan syrien, entre le</t>
  </si>
  <si>
    <t>L'offensive contre l'État islamique isole de plus en plus la ville de Mossoul, en Irak  .  Une frappe aérienne de la coalition menée par les États-Unis   a « mis hors d'état de nuire »  le quatrième pont sur l'</t>
  </si>
  <si>
    <t>Donald Trump décroche  des contrats de plus de 380 milliards de dollars en  Arabie saoudite  .  Le premier voyage à l’étranger du président américain Donald Trump a débuté samedi avec</t>
  </si>
  <si>
    <t>AIA</t>
  </si>
  <si>
    <t>JEY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</si>
</sst>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_ ;_ * \(#,##0.00\)_ ;_ * &quot;-&quot;??_)_ ;_ @_ "/>
    <numFmt numFmtId="164" formatCode="0.000"/>
  </numFmts>
  <fonts count="8" x14ac:knownFonts="1">
    <font>
      <sz val="11"/>
      <color theme="1"/>
      <name val="Calibri"/>
      <family val="2"/>
      <scheme val="minor"/>
    </font>
    <font>
      <b/>
      <sz val="11"/>
      <color theme="1"/>
      <name val="Calibri"/>
      <family val="2"/>
      <scheme val="minor"/>
    </font>
    <font>
      <b/>
      <sz val="10"/>
      <color theme="1"/>
      <name val="Times New Roman"/>
      <family val="1"/>
    </font>
    <font>
      <sz val="10"/>
      <color theme="1"/>
      <name val="Times New Roman"/>
      <family val="1"/>
    </font>
    <font>
      <sz val="11"/>
      <color theme="1"/>
      <name val="Calibri"/>
      <family val="2"/>
      <scheme val="minor"/>
    </font>
    <font>
      <sz val="11"/>
      <color rgb="FFFF0000"/>
      <name val="Calibri"/>
      <family val="2"/>
      <scheme val="minor"/>
    </font>
    <font>
      <b/>
      <sz val="10"/>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21">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3" fillId="0" borderId="0" xfId="0" applyFont="1"/>
    <xf numFmtId="0" fontId="3" fillId="0" borderId="0" xfId="0" applyFont="1"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5" fillId="2" borderId="0" xfId="0" applyFont="1" applyFill="1"/>
    <xf numFmtId="43" fontId="0" fillId="0" borderId="0" xfId="1" applyFont="1" applyAlignment="1">
      <alignment wrapText="1"/>
    </xf>
    <xf numFmtId="0" fontId="6" fillId="0" borderId="0" xfId="0" applyFont="1" applyAlignment="1">
      <alignment horizontal="center" wrapText="1"/>
    </xf>
    <xf numFmtId="0" fontId="7" fillId="0" borderId="0" xfId="0" applyFont="1" applyAlignment="1">
      <alignment wrapText="1"/>
    </xf>
    <xf numFmtId="0" fontId="1" fillId="0" borderId="0" xfId="0" applyFont="1" applyAlignment="1">
      <alignment horizontal="left" wrapText="1"/>
    </xf>
    <xf numFmtId="0" fontId="0" fillId="0" borderId="0" xfId="0" applyAlignment="1">
      <alignment horizontal="left" wrapText="1"/>
    </xf>
    <xf numFmtId="164" fontId="3" fillId="0" borderId="1" xfId="0" applyNumberFormat="1" applyFont="1" applyBorder="1" applyAlignment="1">
      <alignment wrapText="1"/>
    </xf>
    <xf numFmtId="164" fontId="2" fillId="0" borderId="1" xfId="0" applyNumberFormat="1"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3" fillId="0" borderId="1" xfId="0" quotePrefix="1" applyFont="1" applyBorder="1" applyAlignment="1">
      <alignment wrapText="1"/>
    </xf>
  </cellXfs>
  <cellStyles count="2">
    <cellStyle name="Milliers"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CFF47-6776-4B44-B474-490CE85A752B}">
  <dimension ref="A1:I29"/>
  <sheetViews>
    <sheetView tabSelected="1" topLeftCell="A10" zoomScale="225" zoomScaleNormal="225" workbookViewId="0">
      <selection activeCell="F26" sqref="F26"/>
    </sheetView>
  </sheetViews>
  <sheetFormatPr baseColWidth="10" defaultColWidth="7.83203125" defaultRowHeight="13" x14ac:dyDescent="0.15"/>
  <cols>
    <col min="1" max="1" width="13" style="5" customWidth="1"/>
    <col min="2" max="2" width="12.83203125" style="5" customWidth="1"/>
    <col min="3" max="3" width="6.1640625" style="5" bestFit="1" customWidth="1"/>
    <col min="4" max="4" width="4.83203125" style="5" customWidth="1"/>
    <col min="5" max="5" width="3.1640625" style="5" bestFit="1" customWidth="1"/>
    <col min="6" max="6" width="3.33203125" style="5" bestFit="1" customWidth="1"/>
    <col min="7" max="7" width="7.6640625" style="5" bestFit="1" customWidth="1"/>
    <col min="8" max="8" width="5" style="5" bestFit="1" customWidth="1"/>
    <col min="9" max="9" width="6.5" style="5" bestFit="1" customWidth="1"/>
    <col min="10" max="16384" width="7.83203125" style="4"/>
  </cols>
  <sheetData>
    <row r="1" spans="1:9" ht="14" x14ac:dyDescent="0.15">
      <c r="A1" s="18" t="s">
        <v>50</v>
      </c>
      <c r="B1" s="18" t="s">
        <v>54</v>
      </c>
      <c r="C1" s="18" t="s">
        <v>52</v>
      </c>
      <c r="D1" s="18" t="s">
        <v>53</v>
      </c>
      <c r="E1" s="18" t="s">
        <v>44</v>
      </c>
      <c r="F1" s="18" t="s">
        <v>45</v>
      </c>
      <c r="G1" s="18" t="s">
        <v>56</v>
      </c>
      <c r="H1" s="18" t="s">
        <v>57</v>
      </c>
      <c r="I1" s="18" t="s">
        <v>58</v>
      </c>
    </row>
    <row r="2" spans="1:9" ht="14" x14ac:dyDescent="0.15">
      <c r="A2" s="19" t="s">
        <v>260</v>
      </c>
      <c r="B2" s="19" t="s">
        <v>155</v>
      </c>
      <c r="C2" s="19">
        <v>100</v>
      </c>
      <c r="D2" s="19">
        <v>200</v>
      </c>
      <c r="E2" s="19">
        <v>5</v>
      </c>
      <c r="F2" s="19">
        <v>15</v>
      </c>
      <c r="G2" s="16">
        <f t="shared" ref="G2:G28" si="0">(D2-E2)/D2</f>
        <v>0.97499999999999998</v>
      </c>
      <c r="H2" s="16">
        <f t="shared" ref="H2:H28" si="1">(D2-E2)/(D2-E2+F2)</f>
        <v>0.9285714285714286</v>
      </c>
      <c r="I2" s="16">
        <f t="shared" ref="I2:I28" si="2">2*(G2*H2)/(G2+H2)</f>
        <v>0.95121951219512202</v>
      </c>
    </row>
    <row r="3" spans="1:9" ht="16" customHeight="1" x14ac:dyDescent="0.15">
      <c r="A3" s="19" t="s">
        <v>154</v>
      </c>
      <c r="B3" s="19" t="s">
        <v>155</v>
      </c>
      <c r="C3" s="19">
        <v>100</v>
      </c>
      <c r="D3" s="19">
        <v>200</v>
      </c>
      <c r="E3" s="19">
        <v>6</v>
      </c>
      <c r="F3" s="19">
        <v>9</v>
      </c>
      <c r="G3" s="16">
        <f t="shared" si="0"/>
        <v>0.97</v>
      </c>
      <c r="H3" s="16">
        <f t="shared" si="1"/>
        <v>0.95566502463054193</v>
      </c>
      <c r="I3" s="16">
        <f t="shared" si="2"/>
        <v>0.9627791563275433</v>
      </c>
    </row>
    <row r="4" spans="1:9" ht="14" x14ac:dyDescent="0.15">
      <c r="A4" s="19" t="s">
        <v>3911</v>
      </c>
      <c r="B4" s="19" t="s">
        <v>251</v>
      </c>
      <c r="C4" s="19">
        <v>100</v>
      </c>
      <c r="D4" s="19">
        <v>200</v>
      </c>
      <c r="E4" s="19">
        <v>3</v>
      </c>
      <c r="F4" s="19">
        <v>5</v>
      </c>
      <c r="G4" s="16">
        <f t="shared" si="0"/>
        <v>0.98499999999999999</v>
      </c>
      <c r="H4" s="16">
        <f t="shared" si="1"/>
        <v>0.97524752475247523</v>
      </c>
      <c r="I4" s="16">
        <f t="shared" si="2"/>
        <v>0.98009950248756228</v>
      </c>
    </row>
    <row r="5" spans="1:9" ht="14" x14ac:dyDescent="0.15">
      <c r="A5" s="19" t="s">
        <v>250</v>
      </c>
      <c r="B5" s="19" t="s">
        <v>251</v>
      </c>
      <c r="C5" s="19">
        <v>100</v>
      </c>
      <c r="D5" s="19">
        <v>200</v>
      </c>
      <c r="E5" s="19">
        <v>0</v>
      </c>
      <c r="F5" s="19">
        <v>7</v>
      </c>
      <c r="G5" s="16">
        <f t="shared" si="0"/>
        <v>1</v>
      </c>
      <c r="H5" s="16">
        <f t="shared" si="1"/>
        <v>0.96618357487922701</v>
      </c>
      <c r="I5" s="16">
        <f t="shared" si="2"/>
        <v>0.98280098280098283</v>
      </c>
    </row>
    <row r="6" spans="1:9" ht="14" x14ac:dyDescent="0.15">
      <c r="A6" s="19" t="s">
        <v>3912</v>
      </c>
      <c r="B6" s="19" t="s">
        <v>251</v>
      </c>
      <c r="C6" s="19">
        <v>100</v>
      </c>
      <c r="D6" s="19">
        <v>200</v>
      </c>
      <c r="E6" s="19">
        <v>1</v>
      </c>
      <c r="F6" s="19">
        <v>8</v>
      </c>
      <c r="G6" s="16">
        <f t="shared" si="0"/>
        <v>0.995</v>
      </c>
      <c r="H6" s="16">
        <f t="shared" si="1"/>
        <v>0.96135265700483097</v>
      </c>
      <c r="I6" s="16">
        <f t="shared" si="2"/>
        <v>0.97788697788697798</v>
      </c>
    </row>
    <row r="7" spans="1:9" ht="14" x14ac:dyDescent="0.15">
      <c r="A7" s="19" t="s">
        <v>3913</v>
      </c>
      <c r="B7" s="19" t="s">
        <v>251</v>
      </c>
      <c r="C7" s="19">
        <v>100</v>
      </c>
      <c r="D7" s="19">
        <v>200</v>
      </c>
      <c r="E7" s="19">
        <v>3</v>
      </c>
      <c r="F7" s="19">
        <v>11</v>
      </c>
      <c r="G7" s="16">
        <f t="shared" si="0"/>
        <v>0.98499999999999999</v>
      </c>
      <c r="H7" s="16">
        <f t="shared" si="1"/>
        <v>0.94711538461538458</v>
      </c>
      <c r="I7" s="16">
        <f t="shared" si="2"/>
        <v>0.96568627450980404</v>
      </c>
    </row>
    <row r="8" spans="1:9" ht="14" x14ac:dyDescent="0.15">
      <c r="A8" s="19" t="s">
        <v>298</v>
      </c>
      <c r="B8" s="19" t="s">
        <v>251</v>
      </c>
      <c r="C8" s="19">
        <v>100</v>
      </c>
      <c r="D8" s="19">
        <v>200</v>
      </c>
      <c r="E8" s="19">
        <v>1</v>
      </c>
      <c r="F8" s="19">
        <v>5</v>
      </c>
      <c r="G8" s="16">
        <f t="shared" si="0"/>
        <v>0.995</v>
      </c>
      <c r="H8" s="16">
        <f t="shared" si="1"/>
        <v>0.97549019607843135</v>
      </c>
      <c r="I8" s="16">
        <f t="shared" si="2"/>
        <v>0.98514851485148514</v>
      </c>
    </row>
    <row r="9" spans="1:9" ht="14" x14ac:dyDescent="0.15">
      <c r="A9" s="19" t="s">
        <v>3914</v>
      </c>
      <c r="B9" s="19" t="s">
        <v>251</v>
      </c>
      <c r="C9" s="19">
        <v>100</v>
      </c>
      <c r="D9" s="19">
        <v>200</v>
      </c>
      <c r="E9" s="19">
        <v>0</v>
      </c>
      <c r="F9" s="19">
        <v>11</v>
      </c>
      <c r="G9" s="16">
        <f t="shared" si="0"/>
        <v>1</v>
      </c>
      <c r="H9" s="16">
        <f t="shared" si="1"/>
        <v>0.94786729857819907</v>
      </c>
      <c r="I9" s="16">
        <f t="shared" si="2"/>
        <v>0.97323600973236013</v>
      </c>
    </row>
    <row r="10" spans="1:9" ht="14" x14ac:dyDescent="0.15">
      <c r="A10" s="19" t="s">
        <v>3915</v>
      </c>
      <c r="B10" s="19" t="s">
        <v>251</v>
      </c>
      <c r="C10" s="19">
        <v>100</v>
      </c>
      <c r="D10" s="19">
        <v>200</v>
      </c>
      <c r="E10" s="19">
        <v>2</v>
      </c>
      <c r="F10" s="19">
        <v>8</v>
      </c>
      <c r="G10" s="16">
        <f t="shared" si="0"/>
        <v>0.99</v>
      </c>
      <c r="H10" s="16">
        <f t="shared" si="1"/>
        <v>0.96116504854368934</v>
      </c>
      <c r="I10" s="16">
        <f t="shared" si="2"/>
        <v>0.97536945812807885</v>
      </c>
    </row>
    <row r="11" spans="1:9" ht="14" x14ac:dyDescent="0.15">
      <c r="A11" s="19" t="s">
        <v>3916</v>
      </c>
      <c r="B11" s="19" t="s">
        <v>251</v>
      </c>
      <c r="C11" s="19">
        <v>100</v>
      </c>
      <c r="D11" s="19">
        <v>200</v>
      </c>
      <c r="E11" s="19">
        <v>4</v>
      </c>
      <c r="F11" s="19">
        <v>3</v>
      </c>
      <c r="G11" s="16">
        <f t="shared" si="0"/>
        <v>0.98</v>
      </c>
      <c r="H11" s="16">
        <f t="shared" si="1"/>
        <v>0.98492462311557794</v>
      </c>
      <c r="I11" s="16">
        <f t="shared" si="2"/>
        <v>0.98245614035087714</v>
      </c>
    </row>
    <row r="12" spans="1:9" ht="14" x14ac:dyDescent="0.15">
      <c r="A12" s="19" t="s">
        <v>3917</v>
      </c>
      <c r="B12" s="19" t="s">
        <v>251</v>
      </c>
      <c r="C12" s="19">
        <v>100</v>
      </c>
      <c r="D12" s="19">
        <v>200</v>
      </c>
      <c r="E12" s="19">
        <v>6</v>
      </c>
      <c r="F12" s="19">
        <v>3</v>
      </c>
      <c r="G12" s="16">
        <f t="shared" si="0"/>
        <v>0.97</v>
      </c>
      <c r="H12" s="16">
        <f t="shared" si="1"/>
        <v>0.98477157360406087</v>
      </c>
      <c r="I12" s="16">
        <f t="shared" si="2"/>
        <v>0.97732997481108308</v>
      </c>
    </row>
    <row r="13" spans="1:9" ht="14" x14ac:dyDescent="0.15">
      <c r="A13" s="19" t="s">
        <v>3918</v>
      </c>
      <c r="B13" s="19" t="s">
        <v>251</v>
      </c>
      <c r="C13" s="19">
        <v>100</v>
      </c>
      <c r="D13" s="19">
        <v>200</v>
      </c>
      <c r="E13" s="19">
        <v>4</v>
      </c>
      <c r="F13" s="19">
        <v>5</v>
      </c>
      <c r="G13" s="16">
        <f t="shared" si="0"/>
        <v>0.98</v>
      </c>
      <c r="H13" s="16">
        <f t="shared" si="1"/>
        <v>0.97512437810945274</v>
      </c>
      <c r="I13" s="16">
        <f t="shared" si="2"/>
        <v>0.97755610972568574</v>
      </c>
    </row>
    <row r="14" spans="1:9" ht="14" x14ac:dyDescent="0.15">
      <c r="A14" s="19" t="s">
        <v>3919</v>
      </c>
      <c r="B14" s="19" t="s">
        <v>251</v>
      </c>
      <c r="C14" s="19">
        <v>100</v>
      </c>
      <c r="D14" s="19">
        <v>200</v>
      </c>
      <c r="E14" s="19">
        <v>5</v>
      </c>
      <c r="F14" s="19">
        <v>3</v>
      </c>
      <c r="G14" s="16">
        <f t="shared" si="0"/>
        <v>0.97499999999999998</v>
      </c>
      <c r="H14" s="16">
        <f t="shared" si="1"/>
        <v>0.98484848484848486</v>
      </c>
      <c r="I14" s="16">
        <f t="shared" si="2"/>
        <v>0.9798994974874371</v>
      </c>
    </row>
    <row r="15" spans="1:9" ht="14" x14ac:dyDescent="0.15">
      <c r="A15" s="19" t="s">
        <v>3920</v>
      </c>
      <c r="B15" s="19" t="s">
        <v>251</v>
      </c>
      <c r="C15" s="19">
        <v>100</v>
      </c>
      <c r="D15" s="19">
        <v>200</v>
      </c>
      <c r="E15" s="19">
        <v>3</v>
      </c>
      <c r="F15" s="19">
        <v>6</v>
      </c>
      <c r="G15" s="16">
        <f t="shared" si="0"/>
        <v>0.98499999999999999</v>
      </c>
      <c r="H15" s="16">
        <f t="shared" si="1"/>
        <v>0.97044334975369462</v>
      </c>
      <c r="I15" s="16">
        <f t="shared" si="2"/>
        <v>0.97766749379652595</v>
      </c>
    </row>
    <row r="16" spans="1:9" ht="15" customHeight="1" x14ac:dyDescent="0.15">
      <c r="A16" s="19" t="s">
        <v>171</v>
      </c>
      <c r="B16" s="19" t="s">
        <v>5130</v>
      </c>
      <c r="C16" s="19">
        <v>100</v>
      </c>
      <c r="D16" s="19">
        <v>200</v>
      </c>
      <c r="E16" s="19">
        <v>9</v>
      </c>
      <c r="F16" s="19">
        <v>8</v>
      </c>
      <c r="G16" s="16">
        <f t="shared" si="0"/>
        <v>0.95499999999999996</v>
      </c>
      <c r="H16" s="16">
        <f t="shared" si="1"/>
        <v>0.95979899497487442</v>
      </c>
      <c r="I16" s="16">
        <f t="shared" si="2"/>
        <v>0.95739348370927324</v>
      </c>
    </row>
    <row r="17" spans="1:9" ht="14" x14ac:dyDescent="0.15">
      <c r="A17" s="19" t="s">
        <v>233</v>
      </c>
      <c r="B17" s="19" t="s">
        <v>234</v>
      </c>
      <c r="C17" s="19">
        <v>100</v>
      </c>
      <c r="D17" s="19">
        <v>200</v>
      </c>
      <c r="E17" s="19">
        <v>0</v>
      </c>
      <c r="F17" s="19">
        <v>9</v>
      </c>
      <c r="G17" s="16">
        <f t="shared" si="0"/>
        <v>1</v>
      </c>
      <c r="H17" s="16">
        <f t="shared" si="1"/>
        <v>0.9569377990430622</v>
      </c>
      <c r="I17" s="16">
        <f t="shared" si="2"/>
        <v>0.97799511002444983</v>
      </c>
    </row>
    <row r="18" spans="1:9" ht="14" x14ac:dyDescent="0.15">
      <c r="A18" s="19" t="s">
        <v>3534</v>
      </c>
      <c r="B18" s="19" t="s">
        <v>3535</v>
      </c>
      <c r="C18" s="19">
        <v>100</v>
      </c>
      <c r="D18" s="19">
        <v>200</v>
      </c>
      <c r="E18" s="19">
        <v>0</v>
      </c>
      <c r="F18" s="19">
        <v>11</v>
      </c>
      <c r="G18" s="16">
        <f t="shared" si="0"/>
        <v>1</v>
      </c>
      <c r="H18" s="16">
        <f t="shared" si="1"/>
        <v>0.94786729857819907</v>
      </c>
      <c r="I18" s="16">
        <f t="shared" si="2"/>
        <v>0.97323600973236013</v>
      </c>
    </row>
    <row r="19" spans="1:9" ht="14" x14ac:dyDescent="0.15">
      <c r="A19" s="19" t="s">
        <v>178</v>
      </c>
      <c r="B19" s="19" t="s">
        <v>179</v>
      </c>
      <c r="C19" s="19">
        <v>100</v>
      </c>
      <c r="D19" s="19">
        <v>200</v>
      </c>
      <c r="E19" s="19">
        <v>4</v>
      </c>
      <c r="F19" s="19">
        <v>1</v>
      </c>
      <c r="G19" s="16">
        <f t="shared" si="0"/>
        <v>0.98</v>
      </c>
      <c r="H19" s="16">
        <f t="shared" si="1"/>
        <v>0.99492385786802029</v>
      </c>
      <c r="I19" s="16">
        <f t="shared" si="2"/>
        <v>0.9874055415617129</v>
      </c>
    </row>
    <row r="20" spans="1:9" ht="14" x14ac:dyDescent="0.15">
      <c r="A20" s="19" t="s">
        <v>217</v>
      </c>
      <c r="B20" s="19" t="s">
        <v>218</v>
      </c>
      <c r="C20" s="19">
        <v>100</v>
      </c>
      <c r="D20" s="19">
        <v>200</v>
      </c>
      <c r="E20" s="19">
        <v>3</v>
      </c>
      <c r="F20" s="19">
        <v>0</v>
      </c>
      <c r="G20" s="16">
        <f t="shared" si="0"/>
        <v>0.98499999999999999</v>
      </c>
      <c r="H20" s="16">
        <f t="shared" si="1"/>
        <v>1</v>
      </c>
      <c r="I20" s="16">
        <f t="shared" si="2"/>
        <v>0.9924433249370278</v>
      </c>
    </row>
    <row r="21" spans="1:9" ht="14" x14ac:dyDescent="0.15">
      <c r="A21" s="19" t="s">
        <v>197</v>
      </c>
      <c r="B21" s="19" t="s">
        <v>198</v>
      </c>
      <c r="C21" s="19">
        <v>100</v>
      </c>
      <c r="D21" s="19">
        <v>200</v>
      </c>
      <c r="E21" s="19">
        <v>1</v>
      </c>
      <c r="F21" s="19">
        <v>3</v>
      </c>
      <c r="G21" s="16">
        <f t="shared" si="0"/>
        <v>0.995</v>
      </c>
      <c r="H21" s="16">
        <f t="shared" si="1"/>
        <v>0.98514851485148514</v>
      </c>
      <c r="I21" s="16">
        <f t="shared" si="2"/>
        <v>0.99004975124378114</v>
      </c>
    </row>
    <row r="22" spans="1:9" ht="14" x14ac:dyDescent="0.15">
      <c r="A22" s="19" t="s">
        <v>51</v>
      </c>
      <c r="B22" s="19" t="s">
        <v>55</v>
      </c>
      <c r="C22" s="19">
        <v>100</v>
      </c>
      <c r="D22" s="19">
        <v>200</v>
      </c>
      <c r="E22" s="20">
        <v>4</v>
      </c>
      <c r="F22" s="19">
        <v>5</v>
      </c>
      <c r="G22" s="16">
        <f t="shared" si="0"/>
        <v>0.98</v>
      </c>
      <c r="H22" s="16">
        <f t="shared" si="1"/>
        <v>0.97512437810945274</v>
      </c>
      <c r="I22" s="16">
        <f t="shared" si="2"/>
        <v>0.97755610972568574</v>
      </c>
    </row>
    <row r="23" spans="1:9" ht="14" x14ac:dyDescent="0.15">
      <c r="A23" s="19" t="s">
        <v>120</v>
      </c>
      <c r="B23" s="19" t="s">
        <v>121</v>
      </c>
      <c r="C23" s="19">
        <v>100</v>
      </c>
      <c r="D23" s="19">
        <v>200</v>
      </c>
      <c r="E23" s="19">
        <v>5</v>
      </c>
      <c r="F23" s="19">
        <v>5</v>
      </c>
      <c r="G23" s="16">
        <f t="shared" si="0"/>
        <v>0.97499999999999998</v>
      </c>
      <c r="H23" s="16">
        <f t="shared" si="1"/>
        <v>0.97499999999999998</v>
      </c>
      <c r="I23" s="16">
        <f t="shared" si="2"/>
        <v>0.97499999999999998</v>
      </c>
    </row>
    <row r="24" spans="1:9" ht="14" x14ac:dyDescent="0.15">
      <c r="A24" s="19" t="s">
        <v>290</v>
      </c>
      <c r="B24" s="19" t="s">
        <v>121</v>
      </c>
      <c r="C24" s="19">
        <v>100</v>
      </c>
      <c r="D24" s="19">
        <v>200</v>
      </c>
      <c r="E24" s="19">
        <v>3</v>
      </c>
      <c r="F24" s="19">
        <v>0</v>
      </c>
      <c r="G24" s="16">
        <f t="shared" si="0"/>
        <v>0.98499999999999999</v>
      </c>
      <c r="H24" s="16">
        <f t="shared" si="1"/>
        <v>1</v>
      </c>
      <c r="I24" s="16">
        <f t="shared" si="2"/>
        <v>0.9924433249370278</v>
      </c>
    </row>
    <row r="25" spans="1:9" ht="14" x14ac:dyDescent="0.15">
      <c r="A25" s="19" t="s">
        <v>5131</v>
      </c>
      <c r="B25" s="19" t="s">
        <v>92</v>
      </c>
      <c r="C25" s="19">
        <v>100</v>
      </c>
      <c r="D25" s="19">
        <v>200</v>
      </c>
      <c r="E25" s="19">
        <v>5</v>
      </c>
      <c r="F25" s="19">
        <v>8</v>
      </c>
      <c r="G25" s="16">
        <f t="shared" ref="G25" si="3">(D25-E25)/D25</f>
        <v>0.97499999999999998</v>
      </c>
      <c r="H25" s="16">
        <f t="shared" ref="H25" si="4">(D25-E25)/(D25-E25+F25)</f>
        <v>0.96059113300492616</v>
      </c>
      <c r="I25" s="16">
        <f t="shared" ref="I25" si="5">2*(G25*H25)/(G25+H25)</f>
        <v>0.96774193548387089</v>
      </c>
    </row>
    <row r="26" spans="1:9" ht="14" x14ac:dyDescent="0.15">
      <c r="A26" s="19" t="s">
        <v>282</v>
      </c>
      <c r="B26" s="19" t="s">
        <v>92</v>
      </c>
      <c r="C26" s="19">
        <v>100</v>
      </c>
      <c r="D26" s="19">
        <v>200</v>
      </c>
      <c r="E26" s="19">
        <v>1</v>
      </c>
      <c r="F26" s="19">
        <v>7</v>
      </c>
      <c r="G26" s="16">
        <f t="shared" si="0"/>
        <v>0.995</v>
      </c>
      <c r="H26" s="16">
        <f t="shared" si="1"/>
        <v>0.96601941747572817</v>
      </c>
      <c r="I26" s="16">
        <f t="shared" si="2"/>
        <v>0.98029556650246308</v>
      </c>
    </row>
    <row r="27" spans="1:9" ht="14" x14ac:dyDescent="0.15">
      <c r="A27" s="19" t="s">
        <v>91</v>
      </c>
      <c r="B27" s="19" t="s">
        <v>92</v>
      </c>
      <c r="C27" s="19">
        <v>100</v>
      </c>
      <c r="D27" s="19">
        <v>200</v>
      </c>
      <c r="E27" s="19">
        <v>3</v>
      </c>
      <c r="F27" s="19">
        <v>4</v>
      </c>
      <c r="G27" s="16">
        <f t="shared" si="0"/>
        <v>0.98499999999999999</v>
      </c>
      <c r="H27" s="16">
        <f t="shared" si="1"/>
        <v>0.98009950248756217</v>
      </c>
      <c r="I27" s="16">
        <f t="shared" si="2"/>
        <v>0.98254364089775559</v>
      </c>
    </row>
    <row r="28" spans="1:9" ht="14" x14ac:dyDescent="0.15">
      <c r="A28" s="19" t="s">
        <v>142</v>
      </c>
      <c r="B28" s="19" t="s">
        <v>143</v>
      </c>
      <c r="C28" s="19">
        <v>100</v>
      </c>
      <c r="D28" s="19">
        <v>200</v>
      </c>
      <c r="E28" s="19">
        <v>4</v>
      </c>
      <c r="F28" s="19">
        <v>5</v>
      </c>
      <c r="G28" s="16">
        <f t="shared" si="0"/>
        <v>0.98</v>
      </c>
      <c r="H28" s="16">
        <f t="shared" si="1"/>
        <v>0.97512437810945274</v>
      </c>
      <c r="I28" s="16">
        <f t="shared" si="2"/>
        <v>0.97755610972568574</v>
      </c>
    </row>
    <row r="29" spans="1:9" ht="14" x14ac:dyDescent="0.15">
      <c r="A29" s="18" t="s">
        <v>5129</v>
      </c>
      <c r="B29" s="18"/>
      <c r="C29" s="18">
        <f>SUM(C2:C28)</f>
        <v>2700</v>
      </c>
      <c r="D29" s="18">
        <f t="shared" ref="D29:F29" si="6">SUM(D2:D28)</f>
        <v>5400</v>
      </c>
      <c r="E29" s="18">
        <f t="shared" si="6"/>
        <v>85</v>
      </c>
      <c r="F29" s="18">
        <f t="shared" si="6"/>
        <v>165</v>
      </c>
      <c r="G29" s="17">
        <f t="shared" ref="G29" si="7">(D29-E29)/D29</f>
        <v>0.98425925925925928</v>
      </c>
      <c r="H29" s="17">
        <f t="shared" ref="H29" si="8">(D29-E29)/(D29-E29+F29)</f>
        <v>0.9698905109489051</v>
      </c>
      <c r="I29" s="17">
        <f t="shared" ref="I29" si="9">2*(G29*H29)/(G29+H29)</f>
        <v>0.97702205882352933</v>
      </c>
    </row>
  </sheetData>
  <sortState xmlns:xlrd2="http://schemas.microsoft.com/office/spreadsheetml/2017/richdata2" ref="A2:I28">
    <sortCondition ref="B2:B28"/>
    <sortCondition ref="A2:A2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B5BF-510C-E647-B23F-A2DA04429ECA}">
  <dimension ref="A1:H103"/>
  <sheetViews>
    <sheetView topLeftCell="A50" zoomScale="180" zoomScaleNormal="180" workbookViewId="0">
      <selection activeCell="F86" sqref="F86"/>
    </sheetView>
  </sheetViews>
  <sheetFormatPr baseColWidth="10" defaultRowHeight="15" x14ac:dyDescent="0.2"/>
  <cols>
    <col min="1" max="1" width="36" style="3" customWidth="1"/>
    <col min="2" max="2" width="45" style="13" customWidth="1"/>
    <col min="3" max="3" width="8.83203125"/>
    <col min="5" max="5" width="15.1640625" style="9" customWidth="1"/>
    <col min="6" max="6" width="13.33203125" customWidth="1"/>
  </cols>
  <sheetData>
    <row r="1" spans="1:8" ht="16" x14ac:dyDescent="0.2">
      <c r="A1" s="2" t="s">
        <v>0</v>
      </c>
      <c r="B1" s="12" t="s">
        <v>101</v>
      </c>
      <c r="C1" s="1" t="s">
        <v>1</v>
      </c>
      <c r="D1" s="1"/>
      <c r="E1" s="8" t="s">
        <v>44</v>
      </c>
      <c r="F1" s="1" t="s">
        <v>45</v>
      </c>
      <c r="G1" s="1" t="s">
        <v>44</v>
      </c>
      <c r="H1" s="1" t="s">
        <v>45</v>
      </c>
    </row>
    <row r="2" spans="1:8" ht="64" x14ac:dyDescent="0.2">
      <c r="A2" s="3" t="s">
        <v>302</v>
      </c>
      <c r="B2" s="13" t="s">
        <v>440</v>
      </c>
      <c r="C2" t="s">
        <v>138</v>
      </c>
      <c r="E2"/>
      <c r="G2">
        <f>IF(E2="",0,1)</f>
        <v>0</v>
      </c>
      <c r="H2">
        <f>IF(F2="",0,1)</f>
        <v>0</v>
      </c>
    </row>
    <row r="3" spans="1:8" ht="60" x14ac:dyDescent="0.2">
      <c r="A3" s="3" t="s">
        <v>303</v>
      </c>
      <c r="B3" s="13" t="s">
        <v>441</v>
      </c>
      <c r="C3" t="s">
        <v>97</v>
      </c>
      <c r="E3"/>
      <c r="G3">
        <f t="shared" ref="G3:G66" si="0">IF(E3="",0,1)</f>
        <v>0</v>
      </c>
      <c r="H3">
        <f t="shared" ref="H3:H66" si="1">IF(F3="",0,1)</f>
        <v>0</v>
      </c>
    </row>
    <row r="4" spans="1:8" ht="75" x14ac:dyDescent="0.2">
      <c r="A4" s="3" t="s">
        <v>304</v>
      </c>
      <c r="B4" s="13" t="s">
        <v>442</v>
      </c>
      <c r="C4" t="s">
        <v>401</v>
      </c>
      <c r="E4"/>
      <c r="G4">
        <f t="shared" si="0"/>
        <v>0</v>
      </c>
      <c r="H4">
        <f t="shared" si="1"/>
        <v>0</v>
      </c>
    </row>
    <row r="5" spans="1:8" ht="64" x14ac:dyDescent="0.2">
      <c r="A5" s="3" t="s">
        <v>305</v>
      </c>
      <c r="B5" s="13" t="s">
        <v>443</v>
      </c>
      <c r="C5" t="s">
        <v>402</v>
      </c>
      <c r="E5"/>
      <c r="F5" t="s">
        <v>169</v>
      </c>
      <c r="G5">
        <f t="shared" si="0"/>
        <v>0</v>
      </c>
      <c r="H5">
        <f t="shared" si="1"/>
        <v>1</v>
      </c>
    </row>
    <row r="6" spans="1:8" ht="60" x14ac:dyDescent="0.2">
      <c r="A6" s="3" t="s">
        <v>306</v>
      </c>
      <c r="B6" s="13" t="s">
        <v>444</v>
      </c>
      <c r="C6" t="s">
        <v>68</v>
      </c>
      <c r="E6"/>
      <c r="G6">
        <f t="shared" si="0"/>
        <v>0</v>
      </c>
      <c r="H6">
        <f t="shared" si="1"/>
        <v>0</v>
      </c>
    </row>
    <row r="7" spans="1:8" ht="75" x14ac:dyDescent="0.2">
      <c r="A7" s="3" t="s">
        <v>307</v>
      </c>
      <c r="B7" s="13" t="s">
        <v>445</v>
      </c>
      <c r="C7" t="s">
        <v>30</v>
      </c>
      <c r="E7"/>
      <c r="G7">
        <f t="shared" si="0"/>
        <v>0</v>
      </c>
      <c r="H7">
        <f t="shared" si="1"/>
        <v>0</v>
      </c>
    </row>
    <row r="8" spans="1:8" ht="64" x14ac:dyDescent="0.2">
      <c r="A8" s="3" t="s">
        <v>308</v>
      </c>
      <c r="B8" s="13" t="s">
        <v>446</v>
      </c>
      <c r="C8" t="s">
        <v>403</v>
      </c>
      <c r="E8"/>
      <c r="G8">
        <f t="shared" si="0"/>
        <v>0</v>
      </c>
      <c r="H8">
        <f t="shared" si="1"/>
        <v>0</v>
      </c>
    </row>
    <row r="9" spans="1:8" ht="60" x14ac:dyDescent="0.2">
      <c r="A9" s="3" t="s">
        <v>309</v>
      </c>
      <c r="B9" s="13" t="s">
        <v>447</v>
      </c>
      <c r="C9" t="s">
        <v>404</v>
      </c>
      <c r="E9"/>
      <c r="G9">
        <f t="shared" si="0"/>
        <v>0</v>
      </c>
      <c r="H9">
        <f t="shared" si="1"/>
        <v>0</v>
      </c>
    </row>
    <row r="10" spans="1:8" ht="75" customHeight="1" x14ac:dyDescent="0.2">
      <c r="A10" s="3" t="s">
        <v>310</v>
      </c>
      <c r="B10" s="13" t="s">
        <v>448</v>
      </c>
      <c r="C10" t="s">
        <v>405</v>
      </c>
      <c r="E10"/>
      <c r="G10">
        <f t="shared" si="0"/>
        <v>0</v>
      </c>
      <c r="H10">
        <f t="shared" si="1"/>
        <v>0</v>
      </c>
    </row>
    <row r="11" spans="1:8" ht="60" x14ac:dyDescent="0.2">
      <c r="A11" s="3" t="s">
        <v>311</v>
      </c>
      <c r="B11" s="13" t="s">
        <v>449</v>
      </c>
      <c r="C11" t="s">
        <v>406</v>
      </c>
      <c r="E11"/>
      <c r="G11">
        <f t="shared" si="0"/>
        <v>0</v>
      </c>
      <c r="H11">
        <f t="shared" si="1"/>
        <v>0</v>
      </c>
    </row>
    <row r="12" spans="1:8" ht="64" x14ac:dyDescent="0.2">
      <c r="A12" s="3" t="s">
        <v>312</v>
      </c>
      <c r="B12" s="13" t="s">
        <v>450</v>
      </c>
      <c r="C12" t="s">
        <v>407</v>
      </c>
      <c r="E12"/>
      <c r="G12">
        <f t="shared" si="0"/>
        <v>0</v>
      </c>
      <c r="H12">
        <f t="shared" si="1"/>
        <v>0</v>
      </c>
    </row>
    <row r="13" spans="1:8" ht="75" x14ac:dyDescent="0.2">
      <c r="A13" s="3" t="s">
        <v>313</v>
      </c>
      <c r="B13" s="13" t="s">
        <v>451</v>
      </c>
      <c r="C13" t="s">
        <v>408</v>
      </c>
      <c r="E13"/>
      <c r="G13">
        <f t="shared" si="0"/>
        <v>0</v>
      </c>
      <c r="H13">
        <f t="shared" si="1"/>
        <v>0</v>
      </c>
    </row>
    <row r="14" spans="1:8" ht="87" customHeight="1" x14ac:dyDescent="0.2">
      <c r="A14" s="3" t="s">
        <v>314</v>
      </c>
      <c r="B14" s="13" t="s">
        <v>452</v>
      </c>
      <c r="C14" t="s">
        <v>65</v>
      </c>
      <c r="E14"/>
      <c r="G14">
        <f t="shared" si="0"/>
        <v>0</v>
      </c>
      <c r="H14">
        <f t="shared" si="1"/>
        <v>0</v>
      </c>
    </row>
    <row r="15" spans="1:8" ht="64" x14ac:dyDescent="0.2">
      <c r="A15" s="3" t="s">
        <v>315</v>
      </c>
      <c r="B15" s="13" t="s">
        <v>453</v>
      </c>
      <c r="C15" t="s">
        <v>409</v>
      </c>
      <c r="E15"/>
      <c r="G15">
        <f t="shared" si="0"/>
        <v>0</v>
      </c>
      <c r="H15">
        <f t="shared" si="1"/>
        <v>0</v>
      </c>
    </row>
    <row r="16" spans="1:8" ht="60" x14ac:dyDescent="0.2">
      <c r="A16" s="3" t="s">
        <v>316</v>
      </c>
      <c r="B16" s="13" t="s">
        <v>454</v>
      </c>
      <c r="C16" t="s">
        <v>11</v>
      </c>
      <c r="E16"/>
      <c r="G16">
        <f t="shared" si="0"/>
        <v>0</v>
      </c>
      <c r="H16">
        <f t="shared" si="1"/>
        <v>0</v>
      </c>
    </row>
    <row r="17" spans="1:8" ht="60" x14ac:dyDescent="0.2">
      <c r="A17" s="3" t="s">
        <v>317</v>
      </c>
      <c r="B17" s="13" t="s">
        <v>455</v>
      </c>
      <c r="C17" t="s">
        <v>243</v>
      </c>
      <c r="E17"/>
      <c r="G17">
        <f t="shared" si="0"/>
        <v>0</v>
      </c>
      <c r="H17">
        <f t="shared" si="1"/>
        <v>0</v>
      </c>
    </row>
    <row r="18" spans="1:8" ht="60" x14ac:dyDescent="0.2">
      <c r="A18" s="3" t="s">
        <v>318</v>
      </c>
      <c r="B18" s="13" t="s">
        <v>456</v>
      </c>
      <c r="C18" t="s">
        <v>410</v>
      </c>
      <c r="E18"/>
      <c r="G18">
        <f t="shared" si="0"/>
        <v>0</v>
      </c>
      <c r="H18">
        <f t="shared" si="1"/>
        <v>0</v>
      </c>
    </row>
    <row r="19" spans="1:8" ht="60" x14ac:dyDescent="0.2">
      <c r="A19" s="3" t="s">
        <v>319</v>
      </c>
      <c r="B19" s="13" t="s">
        <v>457</v>
      </c>
      <c r="C19" t="s">
        <v>138</v>
      </c>
      <c r="E19"/>
      <c r="F19" t="s">
        <v>87</v>
      </c>
      <c r="G19">
        <f t="shared" si="0"/>
        <v>0</v>
      </c>
      <c r="H19">
        <f t="shared" si="1"/>
        <v>1</v>
      </c>
    </row>
    <row r="20" spans="1:8" ht="75" x14ac:dyDescent="0.2">
      <c r="A20" s="3" t="s">
        <v>320</v>
      </c>
      <c r="B20" s="13" t="s">
        <v>458</v>
      </c>
      <c r="C20" t="s">
        <v>159</v>
      </c>
      <c r="E20"/>
      <c r="G20">
        <f t="shared" si="0"/>
        <v>0</v>
      </c>
      <c r="H20">
        <f t="shared" si="1"/>
        <v>0</v>
      </c>
    </row>
    <row r="21" spans="1:8" ht="60" x14ac:dyDescent="0.2">
      <c r="A21" s="3" t="s">
        <v>321</v>
      </c>
      <c r="B21" s="13" t="s">
        <v>459</v>
      </c>
      <c r="C21" t="s">
        <v>13</v>
      </c>
      <c r="E21"/>
      <c r="F21" t="s">
        <v>46</v>
      </c>
      <c r="G21">
        <f t="shared" si="0"/>
        <v>0</v>
      </c>
      <c r="H21">
        <f t="shared" si="1"/>
        <v>1</v>
      </c>
    </row>
    <row r="22" spans="1:8" ht="64" x14ac:dyDescent="0.2">
      <c r="A22" s="3" t="s">
        <v>322</v>
      </c>
      <c r="B22" s="13" t="s">
        <v>460</v>
      </c>
      <c r="C22" t="s">
        <v>79</v>
      </c>
      <c r="E22"/>
      <c r="G22">
        <f t="shared" si="0"/>
        <v>0</v>
      </c>
      <c r="H22">
        <f t="shared" si="1"/>
        <v>0</v>
      </c>
    </row>
    <row r="23" spans="1:8" ht="64" x14ac:dyDescent="0.2">
      <c r="A23" s="3" t="s">
        <v>323</v>
      </c>
      <c r="B23" s="13" t="s">
        <v>461</v>
      </c>
      <c r="C23" t="s">
        <v>411</v>
      </c>
      <c r="E23" t="s">
        <v>257</v>
      </c>
      <c r="F23" t="s">
        <v>539</v>
      </c>
      <c r="G23">
        <f t="shared" si="0"/>
        <v>1</v>
      </c>
      <c r="H23">
        <v>2</v>
      </c>
    </row>
    <row r="24" spans="1:8" ht="64" x14ac:dyDescent="0.2">
      <c r="A24" s="3" t="s">
        <v>324</v>
      </c>
      <c r="B24" s="13" t="s">
        <v>462</v>
      </c>
      <c r="C24" t="s">
        <v>6</v>
      </c>
      <c r="E24"/>
      <c r="G24">
        <f t="shared" si="0"/>
        <v>0</v>
      </c>
      <c r="H24">
        <f t="shared" si="1"/>
        <v>0</v>
      </c>
    </row>
    <row r="25" spans="1:8" ht="60" x14ac:dyDescent="0.2">
      <c r="A25" s="3" t="s">
        <v>325</v>
      </c>
      <c r="B25" s="13" t="s">
        <v>463</v>
      </c>
      <c r="C25" t="s">
        <v>412</v>
      </c>
      <c r="E25"/>
      <c r="G25">
        <f t="shared" si="0"/>
        <v>0</v>
      </c>
      <c r="H25">
        <f t="shared" si="1"/>
        <v>0</v>
      </c>
    </row>
    <row r="26" spans="1:8" ht="64" x14ac:dyDescent="0.2">
      <c r="A26" s="3" t="s">
        <v>326</v>
      </c>
      <c r="B26" s="13" t="s">
        <v>464</v>
      </c>
      <c r="C26" t="s">
        <v>140</v>
      </c>
      <c r="E26"/>
      <c r="G26">
        <f t="shared" si="0"/>
        <v>0</v>
      </c>
      <c r="H26">
        <f t="shared" si="1"/>
        <v>0</v>
      </c>
    </row>
    <row r="27" spans="1:8" ht="60" x14ac:dyDescent="0.2">
      <c r="A27" s="3" t="s">
        <v>327</v>
      </c>
      <c r="B27" s="13" t="s">
        <v>465</v>
      </c>
      <c r="C27" t="s">
        <v>93</v>
      </c>
      <c r="E27"/>
      <c r="G27">
        <f t="shared" si="0"/>
        <v>0</v>
      </c>
      <c r="H27">
        <f t="shared" si="1"/>
        <v>0</v>
      </c>
    </row>
    <row r="28" spans="1:8" ht="60" x14ac:dyDescent="0.2">
      <c r="A28" s="3" t="s">
        <v>328</v>
      </c>
      <c r="B28" s="13" t="s">
        <v>466</v>
      </c>
      <c r="C28" t="s">
        <v>11</v>
      </c>
      <c r="E28"/>
      <c r="G28">
        <f t="shared" si="0"/>
        <v>0</v>
      </c>
      <c r="H28">
        <f t="shared" si="1"/>
        <v>0</v>
      </c>
    </row>
    <row r="29" spans="1:8" ht="60" x14ac:dyDescent="0.2">
      <c r="A29" s="3" t="s">
        <v>329</v>
      </c>
      <c r="B29" s="13" t="s">
        <v>467</v>
      </c>
      <c r="C29" t="s">
        <v>301</v>
      </c>
      <c r="E29"/>
      <c r="G29">
        <f t="shared" si="0"/>
        <v>0</v>
      </c>
      <c r="H29">
        <f t="shared" si="1"/>
        <v>0</v>
      </c>
    </row>
    <row r="30" spans="1:8" ht="64" x14ac:dyDescent="0.2">
      <c r="A30" s="3" t="s">
        <v>330</v>
      </c>
      <c r="B30" s="13" t="s">
        <v>468</v>
      </c>
      <c r="C30" t="s">
        <v>150</v>
      </c>
      <c r="E30"/>
      <c r="G30">
        <f t="shared" si="0"/>
        <v>0</v>
      </c>
      <c r="H30">
        <f t="shared" si="1"/>
        <v>0</v>
      </c>
    </row>
    <row r="31" spans="1:8" ht="60" x14ac:dyDescent="0.2">
      <c r="A31" s="3" t="s">
        <v>331</v>
      </c>
      <c r="B31" s="13" t="s">
        <v>469</v>
      </c>
      <c r="C31" t="s">
        <v>413</v>
      </c>
      <c r="E31"/>
      <c r="G31">
        <f t="shared" si="0"/>
        <v>0</v>
      </c>
      <c r="H31">
        <f t="shared" si="1"/>
        <v>0</v>
      </c>
    </row>
    <row r="32" spans="1:8" ht="75" x14ac:dyDescent="0.2">
      <c r="A32" s="3" t="s">
        <v>332</v>
      </c>
      <c r="B32" s="13" t="s">
        <v>530</v>
      </c>
      <c r="C32" t="s">
        <v>414</v>
      </c>
      <c r="E32"/>
      <c r="G32">
        <f t="shared" si="0"/>
        <v>0</v>
      </c>
      <c r="H32">
        <f t="shared" si="1"/>
        <v>0</v>
      </c>
    </row>
    <row r="33" spans="1:8" ht="60" customHeight="1" x14ac:dyDescent="0.2">
      <c r="A33" s="3" t="s">
        <v>333</v>
      </c>
      <c r="B33" s="13" t="s">
        <v>470</v>
      </c>
      <c r="C33" t="s">
        <v>37</v>
      </c>
      <c r="E33"/>
      <c r="G33">
        <f t="shared" si="0"/>
        <v>0</v>
      </c>
      <c r="H33">
        <f t="shared" si="1"/>
        <v>0</v>
      </c>
    </row>
    <row r="34" spans="1:8" ht="75" x14ac:dyDescent="0.2">
      <c r="A34" s="3" t="s">
        <v>334</v>
      </c>
      <c r="B34" s="13" t="s">
        <v>531</v>
      </c>
      <c r="C34" t="s">
        <v>109</v>
      </c>
      <c r="E34"/>
      <c r="G34">
        <f t="shared" si="0"/>
        <v>0</v>
      </c>
      <c r="H34">
        <f t="shared" si="1"/>
        <v>0</v>
      </c>
    </row>
    <row r="35" spans="1:8" ht="75" x14ac:dyDescent="0.2">
      <c r="A35" s="3" t="s">
        <v>335</v>
      </c>
      <c r="B35" s="13" t="s">
        <v>532</v>
      </c>
      <c r="C35" t="s">
        <v>415</v>
      </c>
      <c r="E35"/>
      <c r="G35">
        <f t="shared" si="0"/>
        <v>0</v>
      </c>
      <c r="H35">
        <f t="shared" si="1"/>
        <v>0</v>
      </c>
    </row>
    <row r="36" spans="1:8" ht="64" x14ac:dyDescent="0.2">
      <c r="A36" s="3" t="s">
        <v>336</v>
      </c>
      <c r="B36" s="13" t="s">
        <v>471</v>
      </c>
      <c r="C36" t="s">
        <v>129</v>
      </c>
      <c r="E36"/>
      <c r="F36" t="s">
        <v>87</v>
      </c>
      <c r="G36">
        <f t="shared" si="0"/>
        <v>0</v>
      </c>
      <c r="H36">
        <f t="shared" si="1"/>
        <v>1</v>
      </c>
    </row>
    <row r="37" spans="1:8" ht="60" x14ac:dyDescent="0.2">
      <c r="A37" s="3" t="s">
        <v>337</v>
      </c>
      <c r="B37" s="13" t="s">
        <v>472</v>
      </c>
      <c r="C37" t="s">
        <v>416</v>
      </c>
      <c r="E37"/>
      <c r="G37">
        <f t="shared" si="0"/>
        <v>0</v>
      </c>
      <c r="H37">
        <f t="shared" si="1"/>
        <v>0</v>
      </c>
    </row>
    <row r="38" spans="1:8" ht="60" x14ac:dyDescent="0.2">
      <c r="A38" s="3" t="s">
        <v>338</v>
      </c>
      <c r="B38" s="13" t="s">
        <v>473</v>
      </c>
      <c r="C38" t="s">
        <v>417</v>
      </c>
      <c r="E38"/>
      <c r="G38">
        <f t="shared" si="0"/>
        <v>0</v>
      </c>
      <c r="H38">
        <f t="shared" si="1"/>
        <v>0</v>
      </c>
    </row>
    <row r="39" spans="1:8" ht="75" x14ac:dyDescent="0.2">
      <c r="A39" s="3" t="s">
        <v>339</v>
      </c>
      <c r="B39" s="13" t="s">
        <v>474</v>
      </c>
      <c r="C39" t="s">
        <v>418</v>
      </c>
      <c r="E39"/>
      <c r="G39">
        <f t="shared" si="0"/>
        <v>0</v>
      </c>
      <c r="H39">
        <f t="shared" si="1"/>
        <v>0</v>
      </c>
    </row>
    <row r="40" spans="1:8" ht="60" x14ac:dyDescent="0.2">
      <c r="A40" s="3" t="s">
        <v>340</v>
      </c>
      <c r="B40" s="13" t="s">
        <v>475</v>
      </c>
      <c r="C40" t="s">
        <v>419</v>
      </c>
      <c r="E40"/>
      <c r="G40">
        <f t="shared" si="0"/>
        <v>0</v>
      </c>
      <c r="H40">
        <f t="shared" si="1"/>
        <v>0</v>
      </c>
    </row>
    <row r="41" spans="1:8" ht="75" x14ac:dyDescent="0.2">
      <c r="A41" s="3" t="s">
        <v>341</v>
      </c>
      <c r="B41" s="13" t="s">
        <v>476</v>
      </c>
      <c r="C41" t="s">
        <v>420</v>
      </c>
      <c r="E41"/>
      <c r="G41">
        <f t="shared" si="0"/>
        <v>0</v>
      </c>
      <c r="H41">
        <f t="shared" si="1"/>
        <v>0</v>
      </c>
    </row>
    <row r="42" spans="1:8" ht="64" x14ac:dyDescent="0.2">
      <c r="A42" s="3" t="s">
        <v>342</v>
      </c>
      <c r="B42" s="13" t="s">
        <v>477</v>
      </c>
      <c r="C42" t="s">
        <v>15</v>
      </c>
      <c r="E42"/>
      <c r="G42">
        <f t="shared" si="0"/>
        <v>0</v>
      </c>
      <c r="H42">
        <f t="shared" si="1"/>
        <v>0</v>
      </c>
    </row>
    <row r="43" spans="1:8" ht="48" x14ac:dyDescent="0.2">
      <c r="A43" s="3" t="s">
        <v>343</v>
      </c>
      <c r="B43" s="13" t="s">
        <v>478</v>
      </c>
      <c r="C43" t="s">
        <v>421</v>
      </c>
      <c r="E43"/>
      <c r="G43">
        <f t="shared" si="0"/>
        <v>0</v>
      </c>
      <c r="H43">
        <f t="shared" si="1"/>
        <v>0</v>
      </c>
    </row>
    <row r="44" spans="1:8" ht="75" x14ac:dyDescent="0.2">
      <c r="A44" s="3" t="s">
        <v>344</v>
      </c>
      <c r="B44" s="13" t="s">
        <v>479</v>
      </c>
      <c r="C44" t="s">
        <v>299</v>
      </c>
      <c r="E44"/>
      <c r="G44">
        <f t="shared" si="0"/>
        <v>0</v>
      </c>
      <c r="H44">
        <f t="shared" si="1"/>
        <v>0</v>
      </c>
    </row>
    <row r="45" spans="1:8" ht="48" x14ac:dyDescent="0.2">
      <c r="A45" s="3" t="s">
        <v>345</v>
      </c>
      <c r="B45" s="13" t="s">
        <v>480</v>
      </c>
      <c r="C45" t="s">
        <v>150</v>
      </c>
      <c r="E45"/>
      <c r="G45">
        <f t="shared" si="0"/>
        <v>0</v>
      </c>
      <c r="H45">
        <f t="shared" si="1"/>
        <v>0</v>
      </c>
    </row>
    <row r="46" spans="1:8" ht="60" x14ac:dyDescent="0.2">
      <c r="A46" s="3" t="s">
        <v>346</v>
      </c>
      <c r="B46" s="13" t="s">
        <v>481</v>
      </c>
      <c r="C46" t="s">
        <v>79</v>
      </c>
      <c r="E46"/>
      <c r="G46">
        <f t="shared" si="0"/>
        <v>0</v>
      </c>
      <c r="H46">
        <f t="shared" si="1"/>
        <v>0</v>
      </c>
    </row>
    <row r="47" spans="1:8" ht="64" x14ac:dyDescent="0.2">
      <c r="A47" s="3" t="s">
        <v>347</v>
      </c>
      <c r="B47" s="13" t="s">
        <v>482</v>
      </c>
      <c r="C47" t="s">
        <v>422</v>
      </c>
      <c r="E47"/>
      <c r="G47">
        <f t="shared" si="0"/>
        <v>0</v>
      </c>
      <c r="H47">
        <f t="shared" si="1"/>
        <v>0</v>
      </c>
    </row>
    <row r="48" spans="1:8" ht="64" x14ac:dyDescent="0.2">
      <c r="A48" s="3" t="s">
        <v>348</v>
      </c>
      <c r="B48" s="13" t="s">
        <v>483</v>
      </c>
      <c r="C48" t="s">
        <v>423</v>
      </c>
      <c r="E48"/>
      <c r="G48">
        <f t="shared" si="0"/>
        <v>0</v>
      </c>
      <c r="H48">
        <f t="shared" si="1"/>
        <v>0</v>
      </c>
    </row>
    <row r="49" spans="1:8" ht="64" x14ac:dyDescent="0.2">
      <c r="A49" s="3" t="s">
        <v>349</v>
      </c>
      <c r="B49" s="13" t="s">
        <v>540</v>
      </c>
      <c r="C49" t="s">
        <v>10</v>
      </c>
      <c r="E49"/>
      <c r="F49" t="s">
        <v>48</v>
      </c>
      <c r="G49">
        <f t="shared" si="0"/>
        <v>0</v>
      </c>
      <c r="H49">
        <f t="shared" si="1"/>
        <v>1</v>
      </c>
    </row>
    <row r="50" spans="1:8" ht="64" x14ac:dyDescent="0.2">
      <c r="A50" s="3" t="s">
        <v>350</v>
      </c>
      <c r="B50" s="13" t="s">
        <v>533</v>
      </c>
      <c r="C50" t="s">
        <v>424</v>
      </c>
      <c r="E50"/>
      <c r="F50" t="s">
        <v>117</v>
      </c>
      <c r="G50">
        <f t="shared" si="0"/>
        <v>0</v>
      </c>
      <c r="H50">
        <f t="shared" si="1"/>
        <v>1</v>
      </c>
    </row>
    <row r="51" spans="1:8" ht="64" x14ac:dyDescent="0.2">
      <c r="A51" s="3" t="s">
        <v>351</v>
      </c>
      <c r="B51" s="13" t="s">
        <v>484</v>
      </c>
      <c r="C51" t="s">
        <v>124</v>
      </c>
      <c r="E51"/>
      <c r="G51">
        <f t="shared" si="0"/>
        <v>0</v>
      </c>
      <c r="H51">
        <f t="shared" si="1"/>
        <v>0</v>
      </c>
    </row>
    <row r="52" spans="1:8" ht="75" x14ac:dyDescent="0.2">
      <c r="A52" s="3" t="s">
        <v>352</v>
      </c>
      <c r="B52" s="13" t="s">
        <v>485</v>
      </c>
      <c r="C52" t="s">
        <v>254</v>
      </c>
      <c r="E52"/>
      <c r="G52">
        <f t="shared" si="0"/>
        <v>0</v>
      </c>
      <c r="H52">
        <f t="shared" si="1"/>
        <v>0</v>
      </c>
    </row>
    <row r="53" spans="1:8" ht="60" x14ac:dyDescent="0.2">
      <c r="A53" s="3" t="s">
        <v>353</v>
      </c>
      <c r="B53" s="13" t="s">
        <v>486</v>
      </c>
      <c r="C53" t="s">
        <v>425</v>
      </c>
      <c r="E53"/>
      <c r="G53">
        <f t="shared" si="0"/>
        <v>0</v>
      </c>
      <c r="H53">
        <f t="shared" si="1"/>
        <v>0</v>
      </c>
    </row>
    <row r="54" spans="1:8" ht="60" x14ac:dyDescent="0.2">
      <c r="A54" s="3" t="s">
        <v>354</v>
      </c>
      <c r="B54" s="13" t="s">
        <v>487</v>
      </c>
      <c r="C54" t="s">
        <v>126</v>
      </c>
      <c r="E54"/>
      <c r="G54">
        <f t="shared" si="0"/>
        <v>0</v>
      </c>
      <c r="H54">
        <f t="shared" si="1"/>
        <v>0</v>
      </c>
    </row>
    <row r="55" spans="1:8" ht="75" x14ac:dyDescent="0.2">
      <c r="A55" s="3" t="s">
        <v>355</v>
      </c>
      <c r="B55" s="13" t="s">
        <v>488</v>
      </c>
      <c r="C55" t="s">
        <v>231</v>
      </c>
      <c r="E55"/>
      <c r="G55">
        <f t="shared" si="0"/>
        <v>0</v>
      </c>
      <c r="H55">
        <f t="shared" si="1"/>
        <v>0</v>
      </c>
    </row>
    <row r="56" spans="1:8" ht="64" x14ac:dyDescent="0.2">
      <c r="A56" s="3" t="s">
        <v>356</v>
      </c>
      <c r="B56" s="13" t="s">
        <v>534</v>
      </c>
      <c r="C56" t="s">
        <v>8</v>
      </c>
      <c r="E56"/>
      <c r="G56">
        <f t="shared" si="0"/>
        <v>0</v>
      </c>
      <c r="H56">
        <f t="shared" si="1"/>
        <v>0</v>
      </c>
    </row>
    <row r="57" spans="1:8" ht="64" x14ac:dyDescent="0.2">
      <c r="A57" s="3" t="s">
        <v>357</v>
      </c>
      <c r="B57" s="13" t="s">
        <v>535</v>
      </c>
      <c r="C57" t="s">
        <v>287</v>
      </c>
      <c r="E57"/>
      <c r="F57" t="s">
        <v>258</v>
      </c>
      <c r="G57">
        <f t="shared" si="0"/>
        <v>0</v>
      </c>
      <c r="H57">
        <f t="shared" si="1"/>
        <v>1</v>
      </c>
    </row>
    <row r="58" spans="1:8" ht="67" customHeight="1" x14ac:dyDescent="0.2">
      <c r="A58" s="3" t="s">
        <v>358</v>
      </c>
      <c r="B58" s="13" t="s">
        <v>536</v>
      </c>
      <c r="C58" t="s">
        <v>269</v>
      </c>
      <c r="E58"/>
      <c r="G58">
        <f t="shared" si="0"/>
        <v>0</v>
      </c>
      <c r="H58">
        <f t="shared" si="1"/>
        <v>0</v>
      </c>
    </row>
    <row r="59" spans="1:8" ht="75" x14ac:dyDescent="0.2">
      <c r="A59" s="3" t="s">
        <v>359</v>
      </c>
      <c r="B59" s="13" t="s">
        <v>489</v>
      </c>
      <c r="C59" t="s">
        <v>99</v>
      </c>
      <c r="E59"/>
      <c r="G59">
        <f t="shared" si="0"/>
        <v>0</v>
      </c>
      <c r="H59">
        <f t="shared" si="1"/>
        <v>0</v>
      </c>
    </row>
    <row r="60" spans="1:8" ht="75" x14ac:dyDescent="0.2">
      <c r="A60" s="3" t="s">
        <v>360</v>
      </c>
      <c r="B60" s="13" t="s">
        <v>490</v>
      </c>
      <c r="C60" t="s">
        <v>2</v>
      </c>
      <c r="E60"/>
      <c r="G60">
        <f t="shared" si="0"/>
        <v>0</v>
      </c>
      <c r="H60">
        <f t="shared" si="1"/>
        <v>0</v>
      </c>
    </row>
    <row r="61" spans="1:8" ht="64" x14ac:dyDescent="0.2">
      <c r="A61" s="3" t="s">
        <v>361</v>
      </c>
      <c r="B61" s="13" t="s">
        <v>491</v>
      </c>
      <c r="C61" t="s">
        <v>426</v>
      </c>
      <c r="E61"/>
      <c r="G61">
        <f t="shared" si="0"/>
        <v>0</v>
      </c>
      <c r="H61">
        <f t="shared" si="1"/>
        <v>0</v>
      </c>
    </row>
    <row r="62" spans="1:8" ht="64" x14ac:dyDescent="0.2">
      <c r="A62" s="3" t="s">
        <v>362</v>
      </c>
      <c r="B62" s="13" t="s">
        <v>492</v>
      </c>
      <c r="C62" t="s">
        <v>415</v>
      </c>
      <c r="E62"/>
      <c r="G62">
        <f t="shared" si="0"/>
        <v>0</v>
      </c>
      <c r="H62">
        <f t="shared" si="1"/>
        <v>0</v>
      </c>
    </row>
    <row r="63" spans="1:8" ht="60" x14ac:dyDescent="0.2">
      <c r="A63" s="3" t="s">
        <v>363</v>
      </c>
      <c r="B63" s="13" t="s">
        <v>493</v>
      </c>
      <c r="C63" t="s">
        <v>427</v>
      </c>
      <c r="E63"/>
      <c r="G63">
        <f t="shared" si="0"/>
        <v>0</v>
      </c>
      <c r="H63">
        <f t="shared" si="1"/>
        <v>0</v>
      </c>
    </row>
    <row r="64" spans="1:8" ht="60" x14ac:dyDescent="0.2">
      <c r="A64" s="3" t="s">
        <v>364</v>
      </c>
      <c r="B64" s="13" t="s">
        <v>494</v>
      </c>
      <c r="C64" t="s">
        <v>232</v>
      </c>
      <c r="E64"/>
      <c r="G64">
        <f t="shared" si="0"/>
        <v>0</v>
      </c>
      <c r="H64">
        <f t="shared" si="1"/>
        <v>0</v>
      </c>
    </row>
    <row r="65" spans="1:8" ht="64" x14ac:dyDescent="0.2">
      <c r="A65" s="3" t="s">
        <v>365</v>
      </c>
      <c r="B65" s="13" t="s">
        <v>495</v>
      </c>
      <c r="C65" t="s">
        <v>8</v>
      </c>
      <c r="E65"/>
      <c r="F65" t="s">
        <v>119</v>
      </c>
      <c r="G65">
        <f t="shared" si="0"/>
        <v>0</v>
      </c>
      <c r="H65">
        <f t="shared" si="1"/>
        <v>1</v>
      </c>
    </row>
    <row r="66" spans="1:8" ht="64" x14ac:dyDescent="0.2">
      <c r="A66" s="3" t="s">
        <v>366</v>
      </c>
      <c r="B66" s="13" t="s">
        <v>496</v>
      </c>
      <c r="C66" t="s">
        <v>428</v>
      </c>
      <c r="E66"/>
      <c r="G66">
        <f t="shared" si="0"/>
        <v>0</v>
      </c>
      <c r="H66">
        <f t="shared" si="1"/>
        <v>0</v>
      </c>
    </row>
    <row r="67" spans="1:8" ht="60" x14ac:dyDescent="0.2">
      <c r="A67" s="3" t="s">
        <v>367</v>
      </c>
      <c r="B67" s="13" t="s">
        <v>497</v>
      </c>
      <c r="C67" t="s">
        <v>14</v>
      </c>
      <c r="E67" t="s">
        <v>48</v>
      </c>
      <c r="G67">
        <f t="shared" ref="G67:G101" si="2">IF(E67="",0,1)</f>
        <v>1</v>
      </c>
      <c r="H67">
        <f t="shared" ref="H67:H101" si="3">IF(F67="",0,1)</f>
        <v>0</v>
      </c>
    </row>
    <row r="68" spans="1:8" ht="75" x14ac:dyDescent="0.2">
      <c r="A68" s="3" t="s">
        <v>368</v>
      </c>
      <c r="B68" s="13" t="s">
        <v>498</v>
      </c>
      <c r="C68" t="s">
        <v>139</v>
      </c>
      <c r="E68"/>
      <c r="G68">
        <f t="shared" si="2"/>
        <v>0</v>
      </c>
      <c r="H68">
        <f t="shared" si="3"/>
        <v>0</v>
      </c>
    </row>
    <row r="69" spans="1:8" ht="60" x14ac:dyDescent="0.2">
      <c r="A69" s="3" t="s">
        <v>369</v>
      </c>
      <c r="B69" s="13" t="s">
        <v>499</v>
      </c>
      <c r="C69" t="s">
        <v>144</v>
      </c>
      <c r="E69"/>
      <c r="G69">
        <f t="shared" si="2"/>
        <v>0</v>
      </c>
      <c r="H69">
        <f t="shared" si="3"/>
        <v>0</v>
      </c>
    </row>
    <row r="70" spans="1:8" ht="60" x14ac:dyDescent="0.2">
      <c r="A70" s="3" t="s">
        <v>370</v>
      </c>
      <c r="B70" s="13" t="s">
        <v>537</v>
      </c>
      <c r="C70" t="s">
        <v>151</v>
      </c>
      <c r="E70" t="s">
        <v>257</v>
      </c>
      <c r="G70">
        <f t="shared" si="2"/>
        <v>1</v>
      </c>
      <c r="H70">
        <f t="shared" si="3"/>
        <v>0</v>
      </c>
    </row>
    <row r="71" spans="1:8" ht="75" x14ac:dyDescent="0.2">
      <c r="A71" s="3" t="s">
        <v>371</v>
      </c>
      <c r="B71" s="13" t="s">
        <v>500</v>
      </c>
      <c r="C71" t="s">
        <v>62</v>
      </c>
      <c r="E71"/>
      <c r="F71" t="s">
        <v>46</v>
      </c>
      <c r="G71">
        <f t="shared" si="2"/>
        <v>0</v>
      </c>
      <c r="H71">
        <f t="shared" si="3"/>
        <v>1</v>
      </c>
    </row>
    <row r="72" spans="1:8" ht="60" x14ac:dyDescent="0.2">
      <c r="A72" s="3" t="s">
        <v>372</v>
      </c>
      <c r="B72" s="13" t="s">
        <v>501</v>
      </c>
      <c r="C72" t="s">
        <v>420</v>
      </c>
      <c r="E72"/>
      <c r="G72">
        <f t="shared" si="2"/>
        <v>0</v>
      </c>
      <c r="H72">
        <f t="shared" si="3"/>
        <v>0</v>
      </c>
    </row>
    <row r="73" spans="1:8" ht="60" x14ac:dyDescent="0.2">
      <c r="A73" s="3" t="s">
        <v>373</v>
      </c>
      <c r="B73" s="13" t="s">
        <v>502</v>
      </c>
      <c r="C73" t="s">
        <v>109</v>
      </c>
      <c r="E73"/>
      <c r="G73">
        <f t="shared" si="2"/>
        <v>0</v>
      </c>
      <c r="H73">
        <f t="shared" si="3"/>
        <v>0</v>
      </c>
    </row>
    <row r="74" spans="1:8" ht="48" x14ac:dyDescent="0.2">
      <c r="A74" s="3" t="s">
        <v>374</v>
      </c>
      <c r="B74" s="13" t="s">
        <v>503</v>
      </c>
      <c r="C74" t="s">
        <v>147</v>
      </c>
      <c r="E74"/>
      <c r="G74">
        <f t="shared" si="2"/>
        <v>0</v>
      </c>
      <c r="H74">
        <f t="shared" si="3"/>
        <v>0</v>
      </c>
    </row>
    <row r="75" spans="1:8" ht="75" x14ac:dyDescent="0.2">
      <c r="A75" s="3" t="s">
        <v>375</v>
      </c>
      <c r="B75" s="13" t="s">
        <v>504</v>
      </c>
      <c r="C75" t="s">
        <v>70</v>
      </c>
      <c r="E75"/>
      <c r="G75">
        <f t="shared" si="2"/>
        <v>0</v>
      </c>
      <c r="H75">
        <f t="shared" si="3"/>
        <v>0</v>
      </c>
    </row>
    <row r="76" spans="1:8" ht="60" x14ac:dyDescent="0.2">
      <c r="A76" s="3" t="s">
        <v>376</v>
      </c>
      <c r="B76" s="13" t="s">
        <v>505</v>
      </c>
      <c r="C76" t="s">
        <v>4</v>
      </c>
      <c r="E76"/>
      <c r="G76">
        <f t="shared" si="2"/>
        <v>0</v>
      </c>
      <c r="H76">
        <f t="shared" si="3"/>
        <v>0</v>
      </c>
    </row>
    <row r="77" spans="1:8" ht="60" x14ac:dyDescent="0.2">
      <c r="A77" s="3" t="s">
        <v>377</v>
      </c>
      <c r="B77" s="13" t="s">
        <v>506</v>
      </c>
      <c r="C77" t="s">
        <v>429</v>
      </c>
      <c r="E77" t="s">
        <v>257</v>
      </c>
      <c r="G77">
        <f t="shared" si="2"/>
        <v>1</v>
      </c>
      <c r="H77">
        <f t="shared" si="3"/>
        <v>0</v>
      </c>
    </row>
    <row r="78" spans="1:8" ht="48" x14ac:dyDescent="0.2">
      <c r="A78" s="3" t="s">
        <v>378</v>
      </c>
      <c r="B78" s="13" t="s">
        <v>507</v>
      </c>
      <c r="C78" t="s">
        <v>420</v>
      </c>
      <c r="E78"/>
      <c r="G78">
        <f t="shared" si="2"/>
        <v>0</v>
      </c>
      <c r="H78">
        <f t="shared" si="3"/>
        <v>0</v>
      </c>
    </row>
    <row r="79" spans="1:8" ht="90" x14ac:dyDescent="0.2">
      <c r="A79" s="3" t="s">
        <v>379</v>
      </c>
      <c r="B79" s="13" t="s">
        <v>508</v>
      </c>
      <c r="C79" t="s">
        <v>405</v>
      </c>
      <c r="E79"/>
      <c r="F79" t="s">
        <v>152</v>
      </c>
      <c r="G79">
        <f t="shared" si="2"/>
        <v>0</v>
      </c>
      <c r="H79">
        <f t="shared" si="3"/>
        <v>1</v>
      </c>
    </row>
    <row r="80" spans="1:8" ht="48" x14ac:dyDescent="0.2">
      <c r="A80" s="3" t="s">
        <v>380</v>
      </c>
      <c r="B80" s="13" t="s">
        <v>509</v>
      </c>
      <c r="C80" t="s">
        <v>403</v>
      </c>
      <c r="E80"/>
      <c r="G80">
        <f t="shared" si="2"/>
        <v>0</v>
      </c>
      <c r="H80">
        <f t="shared" si="3"/>
        <v>0</v>
      </c>
    </row>
    <row r="81" spans="1:8" ht="60" x14ac:dyDescent="0.2">
      <c r="A81" s="3" t="s">
        <v>381</v>
      </c>
      <c r="B81" s="13" t="s">
        <v>510</v>
      </c>
      <c r="C81" t="s">
        <v>162</v>
      </c>
      <c r="E81"/>
      <c r="G81">
        <f t="shared" si="2"/>
        <v>0</v>
      </c>
      <c r="H81">
        <f t="shared" si="3"/>
        <v>0</v>
      </c>
    </row>
    <row r="82" spans="1:8" ht="64" x14ac:dyDescent="0.2">
      <c r="A82" s="3" t="s">
        <v>382</v>
      </c>
      <c r="B82" s="13" t="s">
        <v>511</v>
      </c>
      <c r="C82" t="s">
        <v>403</v>
      </c>
      <c r="E82"/>
      <c r="G82">
        <f t="shared" si="2"/>
        <v>0</v>
      </c>
      <c r="H82">
        <f t="shared" si="3"/>
        <v>0</v>
      </c>
    </row>
    <row r="83" spans="1:8" ht="75" x14ac:dyDescent="0.2">
      <c r="A83" s="3" t="s">
        <v>383</v>
      </c>
      <c r="B83" s="13" t="s">
        <v>512</v>
      </c>
      <c r="C83" t="s">
        <v>430</v>
      </c>
      <c r="E83"/>
      <c r="F83" t="s">
        <v>257</v>
      </c>
      <c r="G83">
        <f t="shared" si="2"/>
        <v>0</v>
      </c>
      <c r="H83">
        <f t="shared" si="3"/>
        <v>1</v>
      </c>
    </row>
    <row r="84" spans="1:8" ht="75" x14ac:dyDescent="0.2">
      <c r="A84" s="3" t="s">
        <v>384</v>
      </c>
      <c r="B84" s="13" t="s">
        <v>513</v>
      </c>
      <c r="C84" t="s">
        <v>38</v>
      </c>
      <c r="E84"/>
      <c r="G84">
        <f t="shared" si="2"/>
        <v>0</v>
      </c>
      <c r="H84">
        <f t="shared" si="3"/>
        <v>0</v>
      </c>
    </row>
    <row r="85" spans="1:8" ht="64" x14ac:dyDescent="0.2">
      <c r="A85" s="3" t="s">
        <v>385</v>
      </c>
      <c r="B85" s="13" t="s">
        <v>514</v>
      </c>
      <c r="C85" t="s">
        <v>127</v>
      </c>
      <c r="E85"/>
      <c r="G85">
        <f t="shared" si="2"/>
        <v>0</v>
      </c>
      <c r="H85">
        <f t="shared" si="3"/>
        <v>0</v>
      </c>
    </row>
    <row r="86" spans="1:8" ht="60" x14ac:dyDescent="0.2">
      <c r="A86" s="3" t="s">
        <v>386</v>
      </c>
      <c r="B86" s="13" t="s">
        <v>515</v>
      </c>
      <c r="C86" t="s">
        <v>431</v>
      </c>
      <c r="E86"/>
      <c r="F86" t="s">
        <v>541</v>
      </c>
      <c r="G86">
        <f t="shared" si="2"/>
        <v>0</v>
      </c>
      <c r="H86">
        <v>2</v>
      </c>
    </row>
    <row r="87" spans="1:8" ht="64" x14ac:dyDescent="0.2">
      <c r="A87" s="3" t="s">
        <v>387</v>
      </c>
      <c r="B87" s="13" t="s">
        <v>516</v>
      </c>
      <c r="C87" t="s">
        <v>42</v>
      </c>
      <c r="E87"/>
      <c r="G87">
        <f t="shared" si="2"/>
        <v>0</v>
      </c>
      <c r="H87">
        <f t="shared" si="3"/>
        <v>0</v>
      </c>
    </row>
    <row r="88" spans="1:8" ht="64" x14ac:dyDescent="0.2">
      <c r="A88" s="3" t="s">
        <v>388</v>
      </c>
      <c r="B88" s="13" t="s">
        <v>517</v>
      </c>
      <c r="C88" t="s">
        <v>79</v>
      </c>
      <c r="E88"/>
      <c r="G88">
        <f t="shared" si="2"/>
        <v>0</v>
      </c>
      <c r="H88">
        <f t="shared" si="3"/>
        <v>0</v>
      </c>
    </row>
    <row r="89" spans="1:8" ht="75" x14ac:dyDescent="0.2">
      <c r="A89" s="3" t="s">
        <v>389</v>
      </c>
      <c r="B89" s="13" t="s">
        <v>518</v>
      </c>
      <c r="C89" t="s">
        <v>13</v>
      </c>
      <c r="E89"/>
      <c r="G89">
        <f t="shared" si="2"/>
        <v>0</v>
      </c>
      <c r="H89">
        <f t="shared" si="3"/>
        <v>0</v>
      </c>
    </row>
    <row r="90" spans="1:8" ht="75" x14ac:dyDescent="0.2">
      <c r="A90" s="3" t="s">
        <v>390</v>
      </c>
      <c r="B90" s="13" t="s">
        <v>519</v>
      </c>
      <c r="C90" t="s">
        <v>147</v>
      </c>
      <c r="E90"/>
      <c r="G90">
        <f t="shared" si="2"/>
        <v>0</v>
      </c>
      <c r="H90">
        <f t="shared" si="3"/>
        <v>0</v>
      </c>
    </row>
    <row r="91" spans="1:8" ht="60" x14ac:dyDescent="0.2">
      <c r="A91" s="3" t="s">
        <v>391</v>
      </c>
      <c r="B91" s="13" t="s">
        <v>520</v>
      </c>
      <c r="C91" t="s">
        <v>432</v>
      </c>
      <c r="E91"/>
      <c r="G91">
        <f t="shared" si="2"/>
        <v>0</v>
      </c>
      <c r="H91">
        <f t="shared" si="3"/>
        <v>0</v>
      </c>
    </row>
    <row r="92" spans="1:8" ht="60" x14ac:dyDescent="0.2">
      <c r="A92" s="3" t="s">
        <v>392</v>
      </c>
      <c r="B92" s="13" t="s">
        <v>521</v>
      </c>
      <c r="C92" t="s">
        <v>122</v>
      </c>
      <c r="E92"/>
      <c r="G92">
        <f t="shared" si="2"/>
        <v>0</v>
      </c>
      <c r="H92">
        <f t="shared" si="3"/>
        <v>0</v>
      </c>
    </row>
    <row r="93" spans="1:8" ht="60" x14ac:dyDescent="0.2">
      <c r="A93" s="3" t="s">
        <v>393</v>
      </c>
      <c r="B93" s="13" t="s">
        <v>522</v>
      </c>
      <c r="C93" t="s">
        <v>433</v>
      </c>
      <c r="E93"/>
      <c r="G93">
        <f t="shared" si="2"/>
        <v>0</v>
      </c>
      <c r="H93">
        <f t="shared" si="3"/>
        <v>0</v>
      </c>
    </row>
    <row r="94" spans="1:8" ht="75" x14ac:dyDescent="0.2">
      <c r="A94" s="3" t="s">
        <v>394</v>
      </c>
      <c r="B94" s="13" t="s">
        <v>523</v>
      </c>
      <c r="C94" t="s">
        <v>434</v>
      </c>
      <c r="E94"/>
      <c r="G94">
        <f t="shared" si="2"/>
        <v>0</v>
      </c>
      <c r="H94">
        <f t="shared" si="3"/>
        <v>0</v>
      </c>
    </row>
    <row r="95" spans="1:8" ht="64" x14ac:dyDescent="0.2">
      <c r="A95" s="3" t="s">
        <v>252</v>
      </c>
      <c r="B95" s="13" t="s">
        <v>256</v>
      </c>
      <c r="C95" t="s">
        <v>435</v>
      </c>
      <c r="E95"/>
      <c r="G95">
        <f t="shared" si="2"/>
        <v>0</v>
      </c>
      <c r="H95">
        <f t="shared" si="3"/>
        <v>0</v>
      </c>
    </row>
    <row r="96" spans="1:8" ht="80" x14ac:dyDescent="0.2">
      <c r="A96" s="3" t="s">
        <v>395</v>
      </c>
      <c r="B96" s="13" t="s">
        <v>524</v>
      </c>
      <c r="C96" t="s">
        <v>436</v>
      </c>
      <c r="E96"/>
      <c r="G96">
        <f t="shared" si="2"/>
        <v>0</v>
      </c>
      <c r="H96">
        <f t="shared" si="3"/>
        <v>0</v>
      </c>
    </row>
    <row r="97" spans="1:8" ht="60" x14ac:dyDescent="0.2">
      <c r="A97" s="3" t="s">
        <v>396</v>
      </c>
      <c r="B97" s="13" t="s">
        <v>525</v>
      </c>
      <c r="C97" t="s">
        <v>437</v>
      </c>
      <c r="E97"/>
      <c r="G97">
        <f t="shared" si="2"/>
        <v>0</v>
      </c>
      <c r="H97">
        <f t="shared" si="3"/>
        <v>0</v>
      </c>
    </row>
    <row r="98" spans="1:8" ht="60" x14ac:dyDescent="0.2">
      <c r="A98" s="3" t="s">
        <v>397</v>
      </c>
      <c r="B98" s="13" t="s">
        <v>526</v>
      </c>
      <c r="C98" t="s">
        <v>253</v>
      </c>
      <c r="E98"/>
      <c r="G98">
        <f t="shared" si="2"/>
        <v>0</v>
      </c>
      <c r="H98">
        <f t="shared" si="3"/>
        <v>0</v>
      </c>
    </row>
    <row r="99" spans="1:8" ht="60" x14ac:dyDescent="0.2">
      <c r="A99" s="3" t="s">
        <v>398</v>
      </c>
      <c r="B99" s="13" t="s">
        <v>527</v>
      </c>
      <c r="C99" t="s">
        <v>12</v>
      </c>
      <c r="E99" t="s">
        <v>48</v>
      </c>
      <c r="G99">
        <f t="shared" si="2"/>
        <v>1</v>
      </c>
      <c r="H99">
        <f t="shared" si="3"/>
        <v>0</v>
      </c>
    </row>
    <row r="100" spans="1:8" ht="60" x14ac:dyDescent="0.2">
      <c r="A100" s="3" t="s">
        <v>399</v>
      </c>
      <c r="B100" s="13" t="s">
        <v>528</v>
      </c>
      <c r="C100" t="s">
        <v>438</v>
      </c>
      <c r="E100"/>
      <c r="G100">
        <f t="shared" si="2"/>
        <v>0</v>
      </c>
      <c r="H100">
        <f t="shared" si="3"/>
        <v>0</v>
      </c>
    </row>
    <row r="101" spans="1:8" ht="75" x14ac:dyDescent="0.2">
      <c r="A101" s="3" t="s">
        <v>400</v>
      </c>
      <c r="B101" s="13" t="s">
        <v>529</v>
      </c>
      <c r="C101" t="s">
        <v>439</v>
      </c>
      <c r="E101"/>
      <c r="G101">
        <f t="shared" si="2"/>
        <v>0</v>
      </c>
      <c r="H101">
        <f t="shared" si="3"/>
        <v>0</v>
      </c>
    </row>
    <row r="103" spans="1:8" x14ac:dyDescent="0.2">
      <c r="G103" s="10">
        <f>SUM(G2:G101)</f>
        <v>5</v>
      </c>
      <c r="H103" s="10">
        <f>SUM(H2:H101)</f>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883C1-2E07-F343-89F4-D7FB9D369A77}">
  <dimension ref="A1:G103"/>
  <sheetViews>
    <sheetView topLeftCell="A26" zoomScale="150" zoomScaleNormal="150" workbookViewId="0">
      <selection activeCell="B40" sqref="B40"/>
    </sheetView>
  </sheetViews>
  <sheetFormatPr baseColWidth="10" defaultRowHeight="15" x14ac:dyDescent="0.2"/>
  <cols>
    <col min="1" max="1" width="27.33203125" style="3" customWidth="1"/>
    <col min="2" max="2" width="40.1640625" style="3" customWidth="1"/>
    <col min="3" max="3" width="8.83203125"/>
    <col min="4" max="4" width="15.1640625" style="9" customWidth="1"/>
    <col min="5" max="5" width="13.33203125" customWidth="1"/>
  </cols>
  <sheetData>
    <row r="1" spans="1:7" ht="16" x14ac:dyDescent="0.2">
      <c r="A1" s="2" t="s">
        <v>0</v>
      </c>
      <c r="B1" s="2" t="s">
        <v>101</v>
      </c>
      <c r="C1" s="1" t="s">
        <v>1</v>
      </c>
      <c r="D1" s="8" t="s">
        <v>44</v>
      </c>
      <c r="E1" s="1" t="s">
        <v>45</v>
      </c>
      <c r="F1" s="1" t="s">
        <v>44</v>
      </c>
      <c r="G1" s="1" t="s">
        <v>45</v>
      </c>
    </row>
    <row r="2" spans="1:7" ht="112" x14ac:dyDescent="0.2">
      <c r="A2" s="3" t="s">
        <v>554</v>
      </c>
      <c r="B2" s="3" t="s">
        <v>688</v>
      </c>
      <c r="C2" t="s">
        <v>123</v>
      </c>
      <c r="D2"/>
      <c r="F2">
        <f>IF(D2="",0,1)</f>
        <v>0</v>
      </c>
      <c r="G2">
        <f>IF(E2="",0,1)</f>
        <v>0</v>
      </c>
    </row>
    <row r="3" spans="1:7" ht="80" x14ac:dyDescent="0.2">
      <c r="A3" s="3" t="s">
        <v>551</v>
      </c>
      <c r="B3" s="3" t="s">
        <v>689</v>
      </c>
      <c r="C3" t="s">
        <v>68</v>
      </c>
      <c r="D3"/>
      <c r="F3">
        <f t="shared" ref="F3:F66" si="0">IF(D3="",0,1)</f>
        <v>0</v>
      </c>
      <c r="G3">
        <f t="shared" ref="G3:G66" si="1">IF(E3="",0,1)</f>
        <v>0</v>
      </c>
    </row>
    <row r="4" spans="1:7" ht="96" x14ac:dyDescent="0.2">
      <c r="A4" s="3" t="s">
        <v>624</v>
      </c>
      <c r="B4" s="3" t="s">
        <v>690</v>
      </c>
      <c r="C4" t="s">
        <v>647</v>
      </c>
      <c r="D4"/>
      <c r="F4">
        <f t="shared" si="0"/>
        <v>0</v>
      </c>
      <c r="G4">
        <f t="shared" si="1"/>
        <v>0</v>
      </c>
    </row>
    <row r="5" spans="1:7" ht="80" x14ac:dyDescent="0.2">
      <c r="A5" s="3" t="s">
        <v>601</v>
      </c>
      <c r="B5" s="3" t="s">
        <v>691</v>
      </c>
      <c r="C5" t="s">
        <v>672</v>
      </c>
      <c r="D5"/>
      <c r="E5" t="s">
        <v>46</v>
      </c>
      <c r="F5">
        <f t="shared" si="0"/>
        <v>0</v>
      </c>
      <c r="G5">
        <f t="shared" si="1"/>
        <v>1</v>
      </c>
    </row>
    <row r="6" spans="1:7" ht="80" x14ac:dyDescent="0.2">
      <c r="A6" s="3" t="s">
        <v>582</v>
      </c>
      <c r="B6" s="3" t="s">
        <v>692</v>
      </c>
      <c r="C6" t="s">
        <v>11</v>
      </c>
      <c r="D6"/>
      <c r="F6">
        <f t="shared" si="0"/>
        <v>0</v>
      </c>
      <c r="G6">
        <f t="shared" si="1"/>
        <v>0</v>
      </c>
    </row>
    <row r="7" spans="1:7" ht="64" x14ac:dyDescent="0.2">
      <c r="A7" s="3" t="s">
        <v>590</v>
      </c>
      <c r="B7" s="3" t="s">
        <v>693</v>
      </c>
      <c r="C7" t="s">
        <v>2</v>
      </c>
      <c r="D7"/>
      <c r="F7">
        <f t="shared" si="0"/>
        <v>0</v>
      </c>
      <c r="G7">
        <f t="shared" si="1"/>
        <v>0</v>
      </c>
    </row>
    <row r="8" spans="1:7" ht="64" x14ac:dyDescent="0.2">
      <c r="A8" s="3" t="s">
        <v>545</v>
      </c>
      <c r="B8" s="3" t="s">
        <v>694</v>
      </c>
      <c r="C8" t="s">
        <v>2</v>
      </c>
      <c r="D8"/>
      <c r="F8">
        <f t="shared" si="0"/>
        <v>0</v>
      </c>
      <c r="G8">
        <f t="shared" si="1"/>
        <v>0</v>
      </c>
    </row>
    <row r="9" spans="1:7" ht="80" x14ac:dyDescent="0.2">
      <c r="A9" s="3" t="s">
        <v>627</v>
      </c>
      <c r="B9" s="3" t="s">
        <v>695</v>
      </c>
      <c r="C9" t="s">
        <v>666</v>
      </c>
      <c r="D9"/>
      <c r="F9">
        <f t="shared" si="0"/>
        <v>0</v>
      </c>
      <c r="G9">
        <f t="shared" si="1"/>
        <v>0</v>
      </c>
    </row>
    <row r="10" spans="1:7" ht="89" customHeight="1" x14ac:dyDescent="0.2">
      <c r="A10" s="3" t="s">
        <v>609</v>
      </c>
      <c r="B10" s="3" t="s">
        <v>696</v>
      </c>
      <c r="C10" t="s">
        <v>678</v>
      </c>
      <c r="D10"/>
      <c r="F10">
        <f t="shared" si="0"/>
        <v>0</v>
      </c>
      <c r="G10">
        <f t="shared" si="1"/>
        <v>0</v>
      </c>
    </row>
    <row r="11" spans="1:7" ht="96" x14ac:dyDescent="0.2">
      <c r="A11" s="3" t="s">
        <v>557</v>
      </c>
      <c r="B11" s="3" t="s">
        <v>697</v>
      </c>
      <c r="C11" t="s">
        <v>651</v>
      </c>
      <c r="D11"/>
      <c r="F11">
        <f t="shared" si="0"/>
        <v>0</v>
      </c>
      <c r="G11">
        <f t="shared" si="1"/>
        <v>0</v>
      </c>
    </row>
    <row r="12" spans="1:7" ht="80" x14ac:dyDescent="0.2">
      <c r="A12" s="3" t="s">
        <v>583</v>
      </c>
      <c r="B12" s="3" t="s">
        <v>698</v>
      </c>
      <c r="C12" t="s">
        <v>648</v>
      </c>
      <c r="D12"/>
      <c r="E12" t="s">
        <v>87</v>
      </c>
      <c r="F12">
        <f t="shared" si="0"/>
        <v>0</v>
      </c>
      <c r="G12">
        <f t="shared" si="1"/>
        <v>1</v>
      </c>
    </row>
    <row r="13" spans="1:7" ht="64" x14ac:dyDescent="0.2">
      <c r="A13" s="3" t="s">
        <v>561</v>
      </c>
      <c r="B13" s="3" t="s">
        <v>699</v>
      </c>
      <c r="C13" t="s">
        <v>180</v>
      </c>
      <c r="D13"/>
      <c r="F13">
        <f t="shared" si="0"/>
        <v>0</v>
      </c>
      <c r="G13">
        <f t="shared" si="1"/>
        <v>0</v>
      </c>
    </row>
    <row r="14" spans="1:7" ht="64" x14ac:dyDescent="0.2">
      <c r="A14" s="3" t="s">
        <v>618</v>
      </c>
      <c r="B14" s="3" t="s">
        <v>700</v>
      </c>
      <c r="C14" t="s">
        <v>680</v>
      </c>
      <c r="D14"/>
      <c r="F14">
        <f t="shared" si="0"/>
        <v>0</v>
      </c>
      <c r="G14">
        <f t="shared" si="1"/>
        <v>0</v>
      </c>
    </row>
    <row r="15" spans="1:7" ht="80" x14ac:dyDescent="0.2">
      <c r="A15" s="3" t="s">
        <v>640</v>
      </c>
      <c r="B15" s="3" t="s">
        <v>701</v>
      </c>
      <c r="C15" t="s">
        <v>686</v>
      </c>
      <c r="D15"/>
      <c r="F15">
        <f t="shared" si="0"/>
        <v>0</v>
      </c>
      <c r="G15">
        <f t="shared" si="1"/>
        <v>0</v>
      </c>
    </row>
    <row r="16" spans="1:7" ht="96" x14ac:dyDescent="0.2">
      <c r="A16" s="3" t="s">
        <v>639</v>
      </c>
      <c r="B16" s="3" t="s">
        <v>702</v>
      </c>
      <c r="C16" t="s">
        <v>102</v>
      </c>
      <c r="D16" t="s">
        <v>48</v>
      </c>
      <c r="F16">
        <f t="shared" si="0"/>
        <v>1</v>
      </c>
      <c r="G16">
        <f t="shared" si="1"/>
        <v>0</v>
      </c>
    </row>
    <row r="17" spans="1:7" ht="80" x14ac:dyDescent="0.2">
      <c r="A17" s="3" t="s">
        <v>544</v>
      </c>
      <c r="B17" s="3" t="s">
        <v>703</v>
      </c>
      <c r="C17" t="s">
        <v>122</v>
      </c>
      <c r="D17"/>
      <c r="F17">
        <f t="shared" si="0"/>
        <v>0</v>
      </c>
      <c r="G17">
        <f t="shared" si="1"/>
        <v>0</v>
      </c>
    </row>
    <row r="18" spans="1:7" ht="112" x14ac:dyDescent="0.2">
      <c r="A18" s="3" t="s">
        <v>632</v>
      </c>
      <c r="B18" s="3" t="s">
        <v>704</v>
      </c>
      <c r="C18" t="s">
        <v>30</v>
      </c>
      <c r="D18"/>
      <c r="F18">
        <f t="shared" si="0"/>
        <v>0</v>
      </c>
      <c r="G18">
        <f t="shared" si="1"/>
        <v>0</v>
      </c>
    </row>
    <row r="19" spans="1:7" ht="80" x14ac:dyDescent="0.2">
      <c r="A19" s="3" t="s">
        <v>558</v>
      </c>
      <c r="B19" s="3" t="s">
        <v>705</v>
      </c>
      <c r="C19" t="s">
        <v>652</v>
      </c>
      <c r="D19"/>
      <c r="F19">
        <f t="shared" si="0"/>
        <v>0</v>
      </c>
      <c r="G19">
        <f t="shared" si="1"/>
        <v>0</v>
      </c>
    </row>
    <row r="20" spans="1:7" ht="80" x14ac:dyDescent="0.2">
      <c r="A20" s="3" t="s">
        <v>604</v>
      </c>
      <c r="B20" s="3" t="s">
        <v>706</v>
      </c>
      <c r="C20" t="s">
        <v>674</v>
      </c>
      <c r="D20"/>
      <c r="F20">
        <f t="shared" si="0"/>
        <v>0</v>
      </c>
      <c r="G20">
        <f t="shared" si="1"/>
        <v>0</v>
      </c>
    </row>
    <row r="21" spans="1:7" ht="80" x14ac:dyDescent="0.2">
      <c r="A21" s="3" t="s">
        <v>566</v>
      </c>
      <c r="B21" s="3" t="s">
        <v>707</v>
      </c>
      <c r="C21" t="s">
        <v>248</v>
      </c>
      <c r="D21"/>
      <c r="F21">
        <f t="shared" si="0"/>
        <v>0</v>
      </c>
      <c r="G21">
        <f t="shared" si="1"/>
        <v>0</v>
      </c>
    </row>
    <row r="22" spans="1:7" ht="80" x14ac:dyDescent="0.2">
      <c r="A22" s="3" t="s">
        <v>567</v>
      </c>
      <c r="B22" s="3" t="s">
        <v>708</v>
      </c>
      <c r="C22" t="s">
        <v>655</v>
      </c>
      <c r="D22"/>
      <c r="F22">
        <f t="shared" si="0"/>
        <v>0</v>
      </c>
      <c r="G22">
        <f t="shared" si="1"/>
        <v>0</v>
      </c>
    </row>
    <row r="23" spans="1:7" ht="96" x14ac:dyDescent="0.2">
      <c r="A23" s="3" t="s">
        <v>614</v>
      </c>
      <c r="B23" s="3" t="s">
        <v>709</v>
      </c>
      <c r="C23" t="s">
        <v>646</v>
      </c>
      <c r="D23"/>
      <c r="F23">
        <f t="shared" si="0"/>
        <v>0</v>
      </c>
      <c r="G23">
        <f t="shared" si="1"/>
        <v>0</v>
      </c>
    </row>
    <row r="24" spans="1:7" ht="96" x14ac:dyDescent="0.2">
      <c r="A24" s="3" t="s">
        <v>602</v>
      </c>
      <c r="B24" s="3" t="s">
        <v>710</v>
      </c>
      <c r="C24" t="s">
        <v>8</v>
      </c>
      <c r="D24"/>
      <c r="F24">
        <f t="shared" si="0"/>
        <v>0</v>
      </c>
      <c r="G24">
        <f t="shared" si="1"/>
        <v>0</v>
      </c>
    </row>
    <row r="25" spans="1:7" ht="80" x14ac:dyDescent="0.2">
      <c r="A25" s="3" t="s">
        <v>633</v>
      </c>
      <c r="B25" s="3" t="s">
        <v>711</v>
      </c>
      <c r="C25" t="s">
        <v>300</v>
      </c>
      <c r="D25"/>
      <c r="F25">
        <f t="shared" si="0"/>
        <v>0</v>
      </c>
      <c r="G25">
        <f t="shared" si="1"/>
        <v>0</v>
      </c>
    </row>
    <row r="26" spans="1:7" ht="48" x14ac:dyDescent="0.2">
      <c r="A26" s="3" t="s">
        <v>585</v>
      </c>
      <c r="B26" s="3" t="s">
        <v>712</v>
      </c>
      <c r="C26" t="s">
        <v>662</v>
      </c>
      <c r="D26"/>
      <c r="F26">
        <f t="shared" si="0"/>
        <v>0</v>
      </c>
      <c r="G26">
        <f t="shared" si="1"/>
        <v>0</v>
      </c>
    </row>
    <row r="27" spans="1:7" ht="80" x14ac:dyDescent="0.2">
      <c r="A27" s="3" t="s">
        <v>542</v>
      </c>
      <c r="B27" s="3" t="s">
        <v>713</v>
      </c>
      <c r="C27" t="s">
        <v>2</v>
      </c>
      <c r="D27"/>
      <c r="F27">
        <f t="shared" si="0"/>
        <v>0</v>
      </c>
      <c r="G27">
        <f t="shared" si="1"/>
        <v>0</v>
      </c>
    </row>
    <row r="28" spans="1:7" ht="80" x14ac:dyDescent="0.2">
      <c r="A28" s="3" t="s">
        <v>593</v>
      </c>
      <c r="B28" s="3" t="s">
        <v>714</v>
      </c>
      <c r="C28" t="s">
        <v>668</v>
      </c>
      <c r="D28"/>
      <c r="E28" t="s">
        <v>280</v>
      </c>
      <c r="F28">
        <f t="shared" si="0"/>
        <v>0</v>
      </c>
      <c r="G28">
        <f t="shared" si="1"/>
        <v>1</v>
      </c>
    </row>
    <row r="29" spans="1:7" ht="80" x14ac:dyDescent="0.2">
      <c r="A29" s="3" t="s">
        <v>623</v>
      </c>
      <c r="B29" s="3" t="s">
        <v>715</v>
      </c>
      <c r="C29" t="s">
        <v>122</v>
      </c>
      <c r="D29"/>
      <c r="F29">
        <f t="shared" si="0"/>
        <v>0</v>
      </c>
      <c r="G29">
        <f t="shared" si="1"/>
        <v>0</v>
      </c>
    </row>
    <row r="30" spans="1:7" ht="80" x14ac:dyDescent="0.2">
      <c r="A30" s="3" t="s">
        <v>625</v>
      </c>
      <c r="B30" s="3" t="s">
        <v>716</v>
      </c>
      <c r="C30" t="s">
        <v>683</v>
      </c>
      <c r="D30"/>
      <c r="F30">
        <f t="shared" si="0"/>
        <v>0</v>
      </c>
      <c r="G30">
        <f t="shared" si="1"/>
        <v>0</v>
      </c>
    </row>
    <row r="31" spans="1:7" ht="64" x14ac:dyDescent="0.2">
      <c r="A31" s="3" t="s">
        <v>630</v>
      </c>
      <c r="B31" s="3" t="s">
        <v>785</v>
      </c>
      <c r="C31" t="s">
        <v>685</v>
      </c>
      <c r="D31"/>
      <c r="F31">
        <f t="shared" si="0"/>
        <v>0</v>
      </c>
      <c r="G31">
        <f t="shared" si="1"/>
        <v>0</v>
      </c>
    </row>
    <row r="32" spans="1:7" ht="112" x14ac:dyDescent="0.2">
      <c r="A32" s="3" t="s">
        <v>616</v>
      </c>
      <c r="B32" s="3" t="s">
        <v>717</v>
      </c>
      <c r="C32" t="s">
        <v>653</v>
      </c>
      <c r="D32"/>
      <c r="F32">
        <f t="shared" si="0"/>
        <v>0</v>
      </c>
      <c r="G32">
        <f t="shared" si="1"/>
        <v>0</v>
      </c>
    </row>
    <row r="33" spans="1:7" ht="80" x14ac:dyDescent="0.2">
      <c r="A33" s="3" t="s">
        <v>556</v>
      </c>
      <c r="B33" s="3" t="s">
        <v>718</v>
      </c>
      <c r="C33" t="s">
        <v>113</v>
      </c>
      <c r="D33"/>
      <c r="F33">
        <f t="shared" si="0"/>
        <v>0</v>
      </c>
      <c r="G33">
        <f t="shared" si="1"/>
        <v>0</v>
      </c>
    </row>
    <row r="34" spans="1:7" ht="112" x14ac:dyDescent="0.2">
      <c r="A34" s="3" t="s">
        <v>628</v>
      </c>
      <c r="B34" s="3" t="s">
        <v>719</v>
      </c>
      <c r="C34" t="s">
        <v>684</v>
      </c>
      <c r="D34"/>
      <c r="F34">
        <f t="shared" si="0"/>
        <v>0</v>
      </c>
      <c r="G34">
        <f t="shared" si="1"/>
        <v>0</v>
      </c>
    </row>
    <row r="35" spans="1:7" ht="80" x14ac:dyDescent="0.2">
      <c r="A35" s="3" t="s">
        <v>573</v>
      </c>
      <c r="B35" s="3" t="s">
        <v>720</v>
      </c>
      <c r="C35" t="s">
        <v>2</v>
      </c>
      <c r="D35"/>
      <c r="F35">
        <f t="shared" si="0"/>
        <v>0</v>
      </c>
      <c r="G35">
        <f t="shared" si="1"/>
        <v>0</v>
      </c>
    </row>
    <row r="36" spans="1:7" ht="128" x14ac:dyDescent="0.2">
      <c r="A36" s="3" t="s">
        <v>634</v>
      </c>
      <c r="B36" s="3" t="s">
        <v>721</v>
      </c>
      <c r="C36" t="s">
        <v>681</v>
      </c>
      <c r="D36"/>
      <c r="F36">
        <f t="shared" si="0"/>
        <v>0</v>
      </c>
      <c r="G36">
        <f t="shared" si="1"/>
        <v>0</v>
      </c>
    </row>
    <row r="37" spans="1:7" ht="96" x14ac:dyDescent="0.2">
      <c r="A37" s="3" t="s">
        <v>548</v>
      </c>
      <c r="B37" s="3" t="s">
        <v>722</v>
      </c>
      <c r="C37" t="s">
        <v>79</v>
      </c>
      <c r="D37"/>
      <c r="F37">
        <f t="shared" si="0"/>
        <v>0</v>
      </c>
      <c r="G37">
        <f t="shared" si="1"/>
        <v>0</v>
      </c>
    </row>
    <row r="38" spans="1:7" ht="80" x14ac:dyDescent="0.2">
      <c r="A38" s="3" t="s">
        <v>564</v>
      </c>
      <c r="B38" s="3" t="s">
        <v>723</v>
      </c>
      <c r="C38" t="s">
        <v>166</v>
      </c>
      <c r="D38"/>
      <c r="F38">
        <f t="shared" si="0"/>
        <v>0</v>
      </c>
      <c r="G38">
        <f t="shared" si="1"/>
        <v>0</v>
      </c>
    </row>
    <row r="39" spans="1:7" ht="96" x14ac:dyDescent="0.2">
      <c r="A39" s="3" t="s">
        <v>549</v>
      </c>
      <c r="B39" s="3" t="s">
        <v>724</v>
      </c>
      <c r="C39" t="s">
        <v>79</v>
      </c>
      <c r="D39"/>
      <c r="F39">
        <f t="shared" si="0"/>
        <v>0</v>
      </c>
      <c r="G39">
        <f t="shared" si="1"/>
        <v>0</v>
      </c>
    </row>
    <row r="40" spans="1:7" ht="80" x14ac:dyDescent="0.2">
      <c r="A40" s="3" t="s">
        <v>565</v>
      </c>
      <c r="B40" s="3" t="s">
        <v>725</v>
      </c>
      <c r="C40" t="s">
        <v>10</v>
      </c>
      <c r="D40"/>
      <c r="F40">
        <f t="shared" si="0"/>
        <v>0</v>
      </c>
      <c r="G40">
        <f t="shared" si="1"/>
        <v>0</v>
      </c>
    </row>
    <row r="41" spans="1:7" ht="80" x14ac:dyDescent="0.2">
      <c r="A41" s="3" t="s">
        <v>586</v>
      </c>
      <c r="B41" s="3" t="s">
        <v>726</v>
      </c>
      <c r="C41" t="s">
        <v>663</v>
      </c>
      <c r="D41"/>
      <c r="F41">
        <f t="shared" si="0"/>
        <v>0</v>
      </c>
      <c r="G41">
        <f t="shared" si="1"/>
        <v>0</v>
      </c>
    </row>
    <row r="42" spans="1:7" ht="96" x14ac:dyDescent="0.2">
      <c r="A42" s="3" t="s">
        <v>637</v>
      </c>
      <c r="B42" s="3" t="s">
        <v>727</v>
      </c>
      <c r="C42" t="s">
        <v>130</v>
      </c>
      <c r="D42"/>
      <c r="F42">
        <f t="shared" si="0"/>
        <v>0</v>
      </c>
      <c r="G42">
        <f t="shared" si="1"/>
        <v>0</v>
      </c>
    </row>
    <row r="43" spans="1:7" ht="128" x14ac:dyDescent="0.2">
      <c r="A43" s="3" t="s">
        <v>636</v>
      </c>
      <c r="B43" s="3" t="s">
        <v>728</v>
      </c>
      <c r="C43" t="s">
        <v>656</v>
      </c>
      <c r="D43"/>
      <c r="F43">
        <f t="shared" si="0"/>
        <v>0</v>
      </c>
      <c r="G43">
        <f t="shared" si="1"/>
        <v>0</v>
      </c>
    </row>
    <row r="44" spans="1:7" ht="96" x14ac:dyDescent="0.2">
      <c r="A44" s="3" t="s">
        <v>546</v>
      </c>
      <c r="B44" s="3" t="s">
        <v>729</v>
      </c>
      <c r="C44" t="s">
        <v>67</v>
      </c>
      <c r="D44"/>
      <c r="F44">
        <f t="shared" si="0"/>
        <v>0</v>
      </c>
      <c r="G44">
        <f t="shared" si="1"/>
        <v>0</v>
      </c>
    </row>
    <row r="45" spans="1:7" ht="80" x14ac:dyDescent="0.2">
      <c r="A45" s="3" t="s">
        <v>615</v>
      </c>
      <c r="B45" s="3" t="s">
        <v>730</v>
      </c>
      <c r="C45" t="s">
        <v>679</v>
      </c>
      <c r="D45" t="s">
        <v>88</v>
      </c>
      <c r="F45">
        <f t="shared" si="0"/>
        <v>1</v>
      </c>
      <c r="G45">
        <f t="shared" si="1"/>
        <v>0</v>
      </c>
    </row>
    <row r="46" spans="1:7" ht="80" x14ac:dyDescent="0.2">
      <c r="A46" s="3" t="s">
        <v>562</v>
      </c>
      <c r="B46" s="3" t="s">
        <v>731</v>
      </c>
      <c r="C46" t="s">
        <v>79</v>
      </c>
      <c r="D46"/>
      <c r="F46">
        <f t="shared" si="0"/>
        <v>0</v>
      </c>
      <c r="G46">
        <f t="shared" si="1"/>
        <v>0</v>
      </c>
    </row>
    <row r="47" spans="1:7" ht="96" x14ac:dyDescent="0.2">
      <c r="A47" s="3" t="s">
        <v>613</v>
      </c>
      <c r="B47" s="3" t="s">
        <v>732</v>
      </c>
      <c r="C47" t="s">
        <v>148</v>
      </c>
      <c r="D47"/>
      <c r="F47">
        <f t="shared" si="0"/>
        <v>0</v>
      </c>
      <c r="G47">
        <f t="shared" si="1"/>
        <v>0</v>
      </c>
    </row>
    <row r="48" spans="1:7" ht="96" x14ac:dyDescent="0.2">
      <c r="A48" s="3" t="s">
        <v>608</v>
      </c>
      <c r="B48" s="3" t="s">
        <v>733</v>
      </c>
      <c r="C48" t="s">
        <v>677</v>
      </c>
      <c r="D48"/>
      <c r="F48">
        <f t="shared" si="0"/>
        <v>0</v>
      </c>
      <c r="G48">
        <f t="shared" si="1"/>
        <v>0</v>
      </c>
    </row>
    <row r="49" spans="1:7" ht="64" x14ac:dyDescent="0.2">
      <c r="A49" s="3" t="s">
        <v>571</v>
      </c>
      <c r="B49" s="3" t="s">
        <v>734</v>
      </c>
      <c r="C49" t="s">
        <v>209</v>
      </c>
      <c r="D49"/>
      <c r="F49">
        <f t="shared" si="0"/>
        <v>0</v>
      </c>
      <c r="G49">
        <f t="shared" si="1"/>
        <v>0</v>
      </c>
    </row>
    <row r="50" spans="1:7" ht="80" x14ac:dyDescent="0.2">
      <c r="A50" s="3" t="s">
        <v>598</v>
      </c>
      <c r="B50" s="3" t="s">
        <v>735</v>
      </c>
      <c r="C50" t="s">
        <v>133</v>
      </c>
      <c r="D50"/>
      <c r="F50">
        <f t="shared" si="0"/>
        <v>0</v>
      </c>
      <c r="G50">
        <f t="shared" si="1"/>
        <v>0</v>
      </c>
    </row>
    <row r="51" spans="1:7" ht="96" x14ac:dyDescent="0.2">
      <c r="A51" s="3" t="s">
        <v>552</v>
      </c>
      <c r="B51" s="3" t="s">
        <v>736</v>
      </c>
      <c r="C51" t="s">
        <v>83</v>
      </c>
      <c r="D51"/>
      <c r="F51">
        <f t="shared" si="0"/>
        <v>0</v>
      </c>
      <c r="G51">
        <f t="shared" si="1"/>
        <v>0</v>
      </c>
    </row>
    <row r="52" spans="1:7" ht="64" x14ac:dyDescent="0.2">
      <c r="A52" s="3" t="s">
        <v>550</v>
      </c>
      <c r="B52" s="3" t="s">
        <v>737</v>
      </c>
      <c r="C52" t="s">
        <v>649</v>
      </c>
      <c r="D52"/>
      <c r="F52">
        <f t="shared" si="0"/>
        <v>0</v>
      </c>
      <c r="G52">
        <f t="shared" si="1"/>
        <v>0</v>
      </c>
    </row>
    <row r="53" spans="1:7" ht="112" x14ac:dyDescent="0.2">
      <c r="A53" s="3" t="s">
        <v>581</v>
      </c>
      <c r="B53" s="3" t="s">
        <v>738</v>
      </c>
      <c r="C53" t="s">
        <v>136</v>
      </c>
      <c r="D53"/>
      <c r="F53">
        <f t="shared" si="0"/>
        <v>0</v>
      </c>
      <c r="G53">
        <f t="shared" si="1"/>
        <v>0</v>
      </c>
    </row>
    <row r="54" spans="1:7" ht="96" x14ac:dyDescent="0.2">
      <c r="A54" s="3" t="s">
        <v>617</v>
      </c>
      <c r="B54" s="3" t="s">
        <v>739</v>
      </c>
      <c r="C54" t="s">
        <v>295</v>
      </c>
      <c r="D54"/>
      <c r="F54">
        <f t="shared" si="0"/>
        <v>0</v>
      </c>
      <c r="G54">
        <f t="shared" si="1"/>
        <v>0</v>
      </c>
    </row>
    <row r="55" spans="1:7" ht="80" x14ac:dyDescent="0.2">
      <c r="A55" s="3" t="s">
        <v>631</v>
      </c>
      <c r="B55" s="3" t="s">
        <v>740</v>
      </c>
      <c r="C55" t="s">
        <v>4</v>
      </c>
      <c r="D55"/>
      <c r="F55">
        <f t="shared" si="0"/>
        <v>0</v>
      </c>
      <c r="G55">
        <f t="shared" si="1"/>
        <v>0</v>
      </c>
    </row>
    <row r="56" spans="1:7" ht="80" x14ac:dyDescent="0.2">
      <c r="A56" s="3" t="s">
        <v>619</v>
      </c>
      <c r="B56" s="3" t="s">
        <v>741</v>
      </c>
      <c r="C56" t="s">
        <v>682</v>
      </c>
      <c r="D56"/>
      <c r="F56">
        <f t="shared" si="0"/>
        <v>0</v>
      </c>
      <c r="G56">
        <f t="shared" si="1"/>
        <v>0</v>
      </c>
    </row>
    <row r="57" spans="1:7" ht="80" x14ac:dyDescent="0.2">
      <c r="A57" s="3" t="s">
        <v>559</v>
      </c>
      <c r="B57" s="3" t="s">
        <v>742</v>
      </c>
      <c r="C57" t="s">
        <v>150</v>
      </c>
      <c r="D57"/>
      <c r="F57">
        <f t="shared" si="0"/>
        <v>0</v>
      </c>
      <c r="G57">
        <f t="shared" si="1"/>
        <v>0</v>
      </c>
    </row>
    <row r="58" spans="1:7" ht="64" x14ac:dyDescent="0.2">
      <c r="A58" s="3" t="s">
        <v>568</v>
      </c>
      <c r="B58" s="3" t="s">
        <v>743</v>
      </c>
      <c r="C58" t="s">
        <v>657</v>
      </c>
      <c r="D58"/>
      <c r="F58">
        <f t="shared" si="0"/>
        <v>0</v>
      </c>
      <c r="G58">
        <f t="shared" si="1"/>
        <v>0</v>
      </c>
    </row>
    <row r="59" spans="1:7" ht="96" x14ac:dyDescent="0.2">
      <c r="A59" s="3" t="s">
        <v>620</v>
      </c>
      <c r="B59" s="3" t="s">
        <v>744</v>
      </c>
      <c r="C59" t="s">
        <v>146</v>
      </c>
      <c r="D59"/>
      <c r="F59">
        <f t="shared" si="0"/>
        <v>0</v>
      </c>
      <c r="G59">
        <f t="shared" si="1"/>
        <v>0</v>
      </c>
    </row>
    <row r="60" spans="1:7" ht="80" x14ac:dyDescent="0.2">
      <c r="A60" s="3" t="s">
        <v>603</v>
      </c>
      <c r="B60" s="3" t="s">
        <v>786</v>
      </c>
      <c r="C60" t="s">
        <v>673</v>
      </c>
      <c r="D60"/>
      <c r="F60">
        <f t="shared" si="0"/>
        <v>0</v>
      </c>
      <c r="G60">
        <f t="shared" si="1"/>
        <v>0</v>
      </c>
    </row>
    <row r="61" spans="1:7" ht="96" x14ac:dyDescent="0.2">
      <c r="A61" s="3" t="s">
        <v>597</v>
      </c>
      <c r="B61" s="3" t="s">
        <v>745</v>
      </c>
      <c r="C61" t="s">
        <v>79</v>
      </c>
      <c r="D61"/>
      <c r="F61">
        <f t="shared" si="0"/>
        <v>0</v>
      </c>
      <c r="G61">
        <f t="shared" si="1"/>
        <v>0</v>
      </c>
    </row>
    <row r="62" spans="1:7" ht="96" x14ac:dyDescent="0.2">
      <c r="A62" s="3" t="s">
        <v>687</v>
      </c>
      <c r="B62" s="3" t="s">
        <v>746</v>
      </c>
      <c r="C62" t="s">
        <v>641</v>
      </c>
      <c r="D62" t="s">
        <v>788</v>
      </c>
      <c r="F62">
        <f t="shared" si="0"/>
        <v>1</v>
      </c>
      <c r="G62">
        <f t="shared" si="1"/>
        <v>0</v>
      </c>
    </row>
    <row r="63" spans="1:7" ht="80" x14ac:dyDescent="0.2">
      <c r="A63" s="3" t="s">
        <v>577</v>
      </c>
      <c r="B63" s="3" t="s">
        <v>747</v>
      </c>
      <c r="C63" t="s">
        <v>658</v>
      </c>
      <c r="D63"/>
      <c r="F63">
        <f t="shared" si="0"/>
        <v>0</v>
      </c>
      <c r="G63">
        <f t="shared" si="1"/>
        <v>0</v>
      </c>
    </row>
    <row r="64" spans="1:7" ht="80" x14ac:dyDescent="0.2">
      <c r="A64" s="3" t="s">
        <v>543</v>
      </c>
      <c r="B64" s="3" t="s">
        <v>748</v>
      </c>
      <c r="C64" t="s">
        <v>643</v>
      </c>
      <c r="D64"/>
      <c r="E64" t="s">
        <v>789</v>
      </c>
      <c r="F64">
        <f t="shared" si="0"/>
        <v>0</v>
      </c>
      <c r="G64">
        <f t="shared" si="1"/>
        <v>1</v>
      </c>
    </row>
    <row r="65" spans="1:7" ht="96" x14ac:dyDescent="0.2">
      <c r="A65" s="3" t="s">
        <v>560</v>
      </c>
      <c r="B65" s="3" t="s">
        <v>749</v>
      </c>
      <c r="C65" t="s">
        <v>80</v>
      </c>
      <c r="D65"/>
      <c r="F65">
        <f t="shared" si="0"/>
        <v>0</v>
      </c>
      <c r="G65">
        <f t="shared" si="1"/>
        <v>0</v>
      </c>
    </row>
    <row r="66" spans="1:7" ht="80" x14ac:dyDescent="0.2">
      <c r="A66" s="3" t="s">
        <v>612</v>
      </c>
      <c r="B66" s="3" t="s">
        <v>750</v>
      </c>
      <c r="C66" t="s">
        <v>5</v>
      </c>
      <c r="D66"/>
      <c r="E66" t="s">
        <v>790</v>
      </c>
      <c r="F66">
        <f t="shared" si="0"/>
        <v>0</v>
      </c>
      <c r="G66">
        <f t="shared" si="1"/>
        <v>1</v>
      </c>
    </row>
    <row r="67" spans="1:7" ht="96" x14ac:dyDescent="0.2">
      <c r="A67" s="3" t="s">
        <v>626</v>
      </c>
      <c r="B67" s="3" t="s">
        <v>751</v>
      </c>
      <c r="C67" t="s">
        <v>275</v>
      </c>
      <c r="D67"/>
      <c r="F67">
        <f t="shared" ref="F67:F101" si="2">IF(D67="",0,1)</f>
        <v>0</v>
      </c>
      <c r="G67">
        <f t="shared" ref="G67:G101" si="3">IF(E67="",0,1)</f>
        <v>0</v>
      </c>
    </row>
    <row r="68" spans="1:7" ht="96" x14ac:dyDescent="0.2">
      <c r="A68" s="3" t="s">
        <v>569</v>
      </c>
      <c r="B68" s="3" t="s">
        <v>752</v>
      </c>
      <c r="C68" t="s">
        <v>127</v>
      </c>
      <c r="D68"/>
      <c r="E68" t="s">
        <v>48</v>
      </c>
      <c r="F68">
        <f t="shared" si="2"/>
        <v>0</v>
      </c>
      <c r="G68">
        <f t="shared" si="3"/>
        <v>1</v>
      </c>
    </row>
    <row r="69" spans="1:7" ht="96" x14ac:dyDescent="0.2">
      <c r="A69" s="3" t="s">
        <v>574</v>
      </c>
      <c r="B69" s="3" t="s">
        <v>753</v>
      </c>
      <c r="C69" t="s">
        <v>659</v>
      </c>
      <c r="D69"/>
      <c r="F69">
        <f t="shared" si="2"/>
        <v>0</v>
      </c>
      <c r="G69">
        <f t="shared" si="3"/>
        <v>0</v>
      </c>
    </row>
    <row r="70" spans="1:7" ht="80" x14ac:dyDescent="0.2">
      <c r="A70" s="3" t="s">
        <v>611</v>
      </c>
      <c r="B70" s="3" t="s">
        <v>754</v>
      </c>
      <c r="C70" t="s">
        <v>207</v>
      </c>
      <c r="D70"/>
      <c r="F70">
        <f t="shared" si="2"/>
        <v>0</v>
      </c>
      <c r="G70">
        <f t="shared" si="3"/>
        <v>0</v>
      </c>
    </row>
    <row r="71" spans="1:7" ht="96" x14ac:dyDescent="0.2">
      <c r="A71" s="3" t="s">
        <v>621</v>
      </c>
      <c r="B71" s="3" t="s">
        <v>755</v>
      </c>
      <c r="C71" t="s">
        <v>660</v>
      </c>
      <c r="D71"/>
      <c r="F71">
        <f t="shared" si="2"/>
        <v>0</v>
      </c>
      <c r="G71">
        <f t="shared" si="3"/>
        <v>0</v>
      </c>
    </row>
    <row r="72" spans="1:7" ht="96" x14ac:dyDescent="0.2">
      <c r="A72" s="3" t="s">
        <v>599</v>
      </c>
      <c r="B72" s="3" t="s">
        <v>756</v>
      </c>
      <c r="C72" t="s">
        <v>255</v>
      </c>
      <c r="D72"/>
      <c r="F72">
        <f t="shared" si="2"/>
        <v>0</v>
      </c>
      <c r="G72">
        <f t="shared" si="3"/>
        <v>0</v>
      </c>
    </row>
    <row r="73" spans="1:7" ht="96" x14ac:dyDescent="0.2">
      <c r="A73" s="3" t="s">
        <v>580</v>
      </c>
      <c r="B73" s="3" t="s">
        <v>757</v>
      </c>
      <c r="C73" t="s">
        <v>9</v>
      </c>
      <c r="D73"/>
      <c r="F73">
        <f t="shared" si="2"/>
        <v>0</v>
      </c>
      <c r="G73">
        <f t="shared" si="3"/>
        <v>0</v>
      </c>
    </row>
    <row r="74" spans="1:7" ht="80" x14ac:dyDescent="0.2">
      <c r="A74" s="3" t="s">
        <v>591</v>
      </c>
      <c r="B74" s="3" t="s">
        <v>787</v>
      </c>
      <c r="C74" t="s">
        <v>665</v>
      </c>
      <c r="D74"/>
      <c r="F74">
        <f t="shared" si="2"/>
        <v>0</v>
      </c>
      <c r="G74">
        <f t="shared" si="3"/>
        <v>0</v>
      </c>
    </row>
    <row r="75" spans="1:7" ht="80" x14ac:dyDescent="0.2">
      <c r="A75" s="3" t="s">
        <v>584</v>
      </c>
      <c r="B75" s="3" t="s">
        <v>758</v>
      </c>
      <c r="C75" t="s">
        <v>661</v>
      </c>
      <c r="D75"/>
      <c r="F75">
        <f t="shared" si="2"/>
        <v>0</v>
      </c>
      <c r="G75">
        <f t="shared" si="3"/>
        <v>0</v>
      </c>
    </row>
    <row r="76" spans="1:7" ht="80" x14ac:dyDescent="0.2">
      <c r="A76" s="3" t="s">
        <v>635</v>
      </c>
      <c r="B76" s="3" t="s">
        <v>759</v>
      </c>
      <c r="C76" t="s">
        <v>223</v>
      </c>
      <c r="D76"/>
      <c r="F76">
        <f t="shared" si="2"/>
        <v>0</v>
      </c>
      <c r="G76">
        <f t="shared" si="3"/>
        <v>0</v>
      </c>
    </row>
    <row r="77" spans="1:7" ht="112" x14ac:dyDescent="0.2">
      <c r="A77" s="3" t="s">
        <v>607</v>
      </c>
      <c r="B77" s="3" t="s">
        <v>760</v>
      </c>
      <c r="C77" t="s">
        <v>676</v>
      </c>
      <c r="D77"/>
      <c r="E77" t="s">
        <v>48</v>
      </c>
      <c r="F77">
        <f t="shared" si="2"/>
        <v>0</v>
      </c>
      <c r="G77">
        <f t="shared" si="3"/>
        <v>1</v>
      </c>
    </row>
    <row r="78" spans="1:7" ht="80" x14ac:dyDescent="0.2">
      <c r="A78" s="3" t="s">
        <v>629</v>
      </c>
      <c r="B78" s="3" t="s">
        <v>761</v>
      </c>
      <c r="C78" t="s">
        <v>21</v>
      </c>
      <c r="D78"/>
      <c r="F78">
        <f t="shared" si="2"/>
        <v>0</v>
      </c>
      <c r="G78">
        <f t="shared" si="3"/>
        <v>0</v>
      </c>
    </row>
    <row r="79" spans="1:7" ht="64" x14ac:dyDescent="0.2">
      <c r="A79" s="3" t="s">
        <v>610</v>
      </c>
      <c r="B79" s="3" t="s">
        <v>762</v>
      </c>
      <c r="C79" t="s">
        <v>2</v>
      </c>
      <c r="D79"/>
      <c r="F79">
        <f t="shared" si="2"/>
        <v>0</v>
      </c>
      <c r="G79">
        <f t="shared" si="3"/>
        <v>0</v>
      </c>
    </row>
    <row r="80" spans="1:7" ht="80" x14ac:dyDescent="0.2">
      <c r="A80" s="3" t="s">
        <v>594</v>
      </c>
      <c r="B80" s="3" t="s">
        <v>763</v>
      </c>
      <c r="C80" t="s">
        <v>669</v>
      </c>
      <c r="D80"/>
      <c r="F80">
        <f t="shared" si="2"/>
        <v>0</v>
      </c>
      <c r="G80">
        <f t="shared" si="3"/>
        <v>0</v>
      </c>
    </row>
    <row r="81" spans="1:7" ht="48" x14ac:dyDescent="0.2">
      <c r="A81" s="3" t="s">
        <v>589</v>
      </c>
      <c r="B81" s="3" t="s">
        <v>764</v>
      </c>
      <c r="C81" t="s">
        <v>664</v>
      </c>
      <c r="D81"/>
      <c r="F81">
        <f t="shared" si="2"/>
        <v>0</v>
      </c>
      <c r="G81">
        <f t="shared" si="3"/>
        <v>0</v>
      </c>
    </row>
    <row r="82" spans="1:7" ht="80" x14ac:dyDescent="0.2">
      <c r="A82" s="3" t="s">
        <v>605</v>
      </c>
      <c r="B82" s="3" t="s">
        <v>765</v>
      </c>
      <c r="C82" t="s">
        <v>675</v>
      </c>
      <c r="D82" t="s">
        <v>168</v>
      </c>
      <c r="F82">
        <f t="shared" si="2"/>
        <v>1</v>
      </c>
      <c r="G82">
        <f t="shared" si="3"/>
        <v>0</v>
      </c>
    </row>
    <row r="83" spans="1:7" ht="80" x14ac:dyDescent="0.2">
      <c r="A83" s="3" t="s">
        <v>587</v>
      </c>
      <c r="B83" s="3" t="s">
        <v>766</v>
      </c>
      <c r="C83" t="s">
        <v>645</v>
      </c>
      <c r="D83"/>
      <c r="F83">
        <f t="shared" si="2"/>
        <v>0</v>
      </c>
      <c r="G83">
        <f t="shared" si="3"/>
        <v>0</v>
      </c>
    </row>
    <row r="84" spans="1:7" ht="80" x14ac:dyDescent="0.2">
      <c r="A84" s="3" t="s">
        <v>588</v>
      </c>
      <c r="B84" s="3" t="s">
        <v>767</v>
      </c>
      <c r="C84" t="s">
        <v>79</v>
      </c>
      <c r="D84"/>
      <c r="F84">
        <f t="shared" si="2"/>
        <v>0</v>
      </c>
      <c r="G84">
        <f t="shared" si="3"/>
        <v>0</v>
      </c>
    </row>
    <row r="85" spans="1:7" ht="96" x14ac:dyDescent="0.2">
      <c r="A85" s="3" t="s">
        <v>563</v>
      </c>
      <c r="B85" s="3" t="s">
        <v>768</v>
      </c>
      <c r="C85" t="s">
        <v>654</v>
      </c>
      <c r="D85"/>
      <c r="E85" t="s">
        <v>259</v>
      </c>
      <c r="F85">
        <f t="shared" si="2"/>
        <v>0</v>
      </c>
      <c r="G85">
        <f t="shared" si="3"/>
        <v>1</v>
      </c>
    </row>
    <row r="86" spans="1:7" ht="96" x14ac:dyDescent="0.2">
      <c r="A86" s="3" t="s">
        <v>600</v>
      </c>
      <c r="B86" s="3" t="s">
        <v>769</v>
      </c>
      <c r="C86" t="s">
        <v>671</v>
      </c>
      <c r="D86"/>
      <c r="F86">
        <f t="shared" si="2"/>
        <v>0</v>
      </c>
      <c r="G86">
        <f t="shared" si="3"/>
        <v>0</v>
      </c>
    </row>
    <row r="87" spans="1:7" ht="112" x14ac:dyDescent="0.2">
      <c r="A87" s="3" t="s">
        <v>638</v>
      </c>
      <c r="B87" s="3" t="s">
        <v>770</v>
      </c>
      <c r="C87" t="s">
        <v>110</v>
      </c>
      <c r="D87"/>
      <c r="F87">
        <f t="shared" si="2"/>
        <v>0</v>
      </c>
      <c r="G87">
        <f t="shared" si="3"/>
        <v>0</v>
      </c>
    </row>
    <row r="88" spans="1:7" ht="80" x14ac:dyDescent="0.2">
      <c r="A88" s="3" t="s">
        <v>572</v>
      </c>
      <c r="B88" s="3" t="s">
        <v>771</v>
      </c>
      <c r="C88" t="s">
        <v>644</v>
      </c>
      <c r="D88" t="s">
        <v>170</v>
      </c>
      <c r="F88">
        <f t="shared" si="2"/>
        <v>1</v>
      </c>
      <c r="G88">
        <f t="shared" si="3"/>
        <v>0</v>
      </c>
    </row>
    <row r="89" spans="1:7" ht="96" x14ac:dyDescent="0.2">
      <c r="A89" s="3" t="s">
        <v>596</v>
      </c>
      <c r="B89" s="3" t="s">
        <v>772</v>
      </c>
      <c r="C89" t="s">
        <v>670</v>
      </c>
      <c r="D89"/>
      <c r="F89">
        <f t="shared" si="2"/>
        <v>0</v>
      </c>
      <c r="G89">
        <f t="shared" si="3"/>
        <v>0</v>
      </c>
    </row>
    <row r="90" spans="1:7" ht="80" x14ac:dyDescent="0.2">
      <c r="A90" s="3" t="s">
        <v>575</v>
      </c>
      <c r="B90" s="3" t="s">
        <v>773</v>
      </c>
      <c r="C90" t="s">
        <v>642</v>
      </c>
      <c r="D90"/>
      <c r="F90">
        <f t="shared" si="2"/>
        <v>0</v>
      </c>
      <c r="G90">
        <f t="shared" si="3"/>
        <v>0</v>
      </c>
    </row>
    <row r="91" spans="1:7" ht="96" x14ac:dyDescent="0.2">
      <c r="A91" s="3" t="s">
        <v>579</v>
      </c>
      <c r="B91" s="3" t="s">
        <v>774</v>
      </c>
      <c r="C91" t="s">
        <v>113</v>
      </c>
      <c r="D91"/>
      <c r="F91">
        <f t="shared" si="2"/>
        <v>0</v>
      </c>
      <c r="G91">
        <f t="shared" si="3"/>
        <v>0</v>
      </c>
    </row>
    <row r="92" spans="1:7" ht="96" x14ac:dyDescent="0.2">
      <c r="A92" s="3" t="s">
        <v>570</v>
      </c>
      <c r="B92" s="3" t="s">
        <v>775</v>
      </c>
      <c r="C92" t="s">
        <v>79</v>
      </c>
      <c r="D92"/>
      <c r="F92">
        <f t="shared" si="2"/>
        <v>0</v>
      </c>
      <c r="G92">
        <f t="shared" si="3"/>
        <v>0</v>
      </c>
    </row>
    <row r="93" spans="1:7" ht="96" x14ac:dyDescent="0.2">
      <c r="A93" s="3" t="s">
        <v>606</v>
      </c>
      <c r="B93" s="3" t="s">
        <v>776</v>
      </c>
      <c r="C93" t="s">
        <v>437</v>
      </c>
      <c r="D93"/>
      <c r="F93">
        <f t="shared" si="2"/>
        <v>0</v>
      </c>
      <c r="G93">
        <f t="shared" si="3"/>
        <v>0</v>
      </c>
    </row>
    <row r="94" spans="1:7" ht="112" x14ac:dyDescent="0.2">
      <c r="A94" s="3" t="s">
        <v>576</v>
      </c>
      <c r="B94" s="3" t="s">
        <v>777</v>
      </c>
      <c r="C94" t="s">
        <v>5</v>
      </c>
      <c r="D94"/>
      <c r="F94">
        <f t="shared" si="2"/>
        <v>0</v>
      </c>
      <c r="G94">
        <f t="shared" si="3"/>
        <v>0</v>
      </c>
    </row>
    <row r="95" spans="1:7" ht="96" x14ac:dyDescent="0.2">
      <c r="A95" s="3" t="s">
        <v>622</v>
      </c>
      <c r="B95" s="3" t="s">
        <v>778</v>
      </c>
      <c r="C95" t="s">
        <v>161</v>
      </c>
      <c r="D95"/>
      <c r="F95">
        <f t="shared" si="2"/>
        <v>0</v>
      </c>
      <c r="G95">
        <f t="shared" si="3"/>
        <v>0</v>
      </c>
    </row>
    <row r="96" spans="1:7" ht="96" x14ac:dyDescent="0.2">
      <c r="A96" s="3" t="s">
        <v>578</v>
      </c>
      <c r="B96" s="3" t="s">
        <v>779</v>
      </c>
      <c r="C96" t="s">
        <v>650</v>
      </c>
      <c r="D96"/>
      <c r="F96">
        <f t="shared" si="2"/>
        <v>0</v>
      </c>
      <c r="G96">
        <f t="shared" si="3"/>
        <v>0</v>
      </c>
    </row>
    <row r="97" spans="1:7" ht="80" x14ac:dyDescent="0.2">
      <c r="A97" s="3" t="s">
        <v>555</v>
      </c>
      <c r="B97" s="3" t="s">
        <v>780</v>
      </c>
      <c r="C97" t="s">
        <v>203</v>
      </c>
      <c r="D97"/>
      <c r="F97">
        <f t="shared" si="2"/>
        <v>0</v>
      </c>
      <c r="G97">
        <f t="shared" si="3"/>
        <v>0</v>
      </c>
    </row>
    <row r="98" spans="1:7" ht="64" x14ac:dyDescent="0.2">
      <c r="A98" s="3" t="s">
        <v>595</v>
      </c>
      <c r="B98" s="3" t="s">
        <v>781</v>
      </c>
      <c r="C98" t="s">
        <v>2</v>
      </c>
      <c r="D98"/>
      <c r="F98">
        <f t="shared" si="2"/>
        <v>0</v>
      </c>
      <c r="G98">
        <f t="shared" si="3"/>
        <v>0</v>
      </c>
    </row>
    <row r="99" spans="1:7" ht="80" x14ac:dyDescent="0.2">
      <c r="A99" s="3" t="s">
        <v>592</v>
      </c>
      <c r="B99" s="3" t="s">
        <v>782</v>
      </c>
      <c r="C99" t="s">
        <v>667</v>
      </c>
      <c r="D99" t="s">
        <v>257</v>
      </c>
      <c r="F99">
        <f t="shared" si="2"/>
        <v>1</v>
      </c>
      <c r="G99">
        <f t="shared" si="3"/>
        <v>0</v>
      </c>
    </row>
    <row r="100" spans="1:7" ht="112" x14ac:dyDescent="0.2">
      <c r="A100" s="3" t="s">
        <v>553</v>
      </c>
      <c r="B100" s="3" t="s">
        <v>783</v>
      </c>
      <c r="C100" t="s">
        <v>130</v>
      </c>
      <c r="D100"/>
      <c r="E100" t="s">
        <v>259</v>
      </c>
      <c r="F100">
        <f t="shared" si="2"/>
        <v>0</v>
      </c>
      <c r="G100">
        <f t="shared" si="3"/>
        <v>1</v>
      </c>
    </row>
    <row r="101" spans="1:7" ht="96" x14ac:dyDescent="0.2">
      <c r="A101" s="3" t="s">
        <v>547</v>
      </c>
      <c r="B101" s="3" t="s">
        <v>784</v>
      </c>
      <c r="C101" t="s">
        <v>150</v>
      </c>
      <c r="D101"/>
      <c r="F101">
        <f t="shared" si="2"/>
        <v>0</v>
      </c>
      <c r="G101">
        <f t="shared" si="3"/>
        <v>0</v>
      </c>
    </row>
    <row r="103" spans="1:7" x14ac:dyDescent="0.2">
      <c r="F103" s="10">
        <f>SUM(F2:F101)</f>
        <v>6</v>
      </c>
      <c r="G103" s="10">
        <f>SUM(G2:G101)</f>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1BFBB-7672-E24A-A819-A7FE399FA99D}">
  <dimension ref="A1:J109"/>
  <sheetViews>
    <sheetView topLeftCell="A99" zoomScale="140" zoomScaleNormal="140" workbookViewId="0">
      <selection activeCell="D31" sqref="D31"/>
    </sheetView>
  </sheetViews>
  <sheetFormatPr baseColWidth="10" defaultRowHeight="15" x14ac:dyDescent="0.2"/>
  <cols>
    <col min="1" max="1" width="40.5" style="3" customWidth="1"/>
    <col min="2" max="2" width="56.1640625" style="7" customWidth="1"/>
    <col min="3" max="3" width="8.83203125"/>
    <col min="4" max="4" width="15.1640625" style="9" customWidth="1"/>
    <col min="5" max="5" width="13.33203125" customWidth="1"/>
    <col min="10" max="10" width="46.6640625" customWidth="1"/>
  </cols>
  <sheetData>
    <row r="1" spans="1:10" ht="16" x14ac:dyDescent="0.2">
      <c r="A1" s="2" t="s">
        <v>0</v>
      </c>
      <c r="B1" s="6" t="s">
        <v>101</v>
      </c>
      <c r="C1" s="1" t="s">
        <v>1</v>
      </c>
      <c r="D1" s="8" t="s">
        <v>44</v>
      </c>
      <c r="E1" s="1" t="s">
        <v>45</v>
      </c>
      <c r="F1" s="1" t="s">
        <v>44</v>
      </c>
      <c r="G1" s="1" t="s">
        <v>45</v>
      </c>
    </row>
    <row r="2" spans="1:10" ht="48" x14ac:dyDescent="0.2">
      <c r="A2" s="3" t="s">
        <v>791</v>
      </c>
      <c r="B2" s="3" t="s">
        <v>924</v>
      </c>
      <c r="C2" t="s">
        <v>105</v>
      </c>
      <c r="D2"/>
      <c r="E2" t="s">
        <v>259</v>
      </c>
      <c r="F2">
        <f>IF(D2="",0,1)</f>
        <v>0</v>
      </c>
      <c r="G2">
        <f>IF(E2="",0,1)</f>
        <v>1</v>
      </c>
    </row>
    <row r="3" spans="1:10" ht="48" x14ac:dyDescent="0.2">
      <c r="A3" s="3" t="s">
        <v>792</v>
      </c>
      <c r="B3" s="3" t="s">
        <v>925</v>
      </c>
      <c r="C3" t="s">
        <v>889</v>
      </c>
      <c r="D3"/>
      <c r="F3">
        <f t="shared" ref="F3:F66" si="0">IF(D3="",0,1)</f>
        <v>0</v>
      </c>
      <c r="G3">
        <f t="shared" ref="G3:G66" si="1">IF(E3="",0,1)</f>
        <v>0</v>
      </c>
      <c r="J3" s="3"/>
    </row>
    <row r="4" spans="1:10" ht="64" x14ac:dyDescent="0.2">
      <c r="A4" s="3" t="s">
        <v>793</v>
      </c>
      <c r="B4" s="3" t="s">
        <v>926</v>
      </c>
      <c r="C4" t="s">
        <v>130</v>
      </c>
      <c r="D4"/>
      <c r="F4">
        <f t="shared" si="0"/>
        <v>0</v>
      </c>
      <c r="G4">
        <f t="shared" si="1"/>
        <v>0</v>
      </c>
    </row>
    <row r="5" spans="1:10" ht="64" x14ac:dyDescent="0.2">
      <c r="A5" s="3" t="s">
        <v>794</v>
      </c>
      <c r="B5" s="3" t="s">
        <v>927</v>
      </c>
      <c r="C5" t="s">
        <v>890</v>
      </c>
      <c r="D5"/>
      <c r="F5">
        <f t="shared" si="0"/>
        <v>0</v>
      </c>
      <c r="G5">
        <f t="shared" si="1"/>
        <v>0</v>
      </c>
    </row>
    <row r="6" spans="1:10" ht="48" x14ac:dyDescent="0.2">
      <c r="A6" s="3" t="s">
        <v>795</v>
      </c>
      <c r="B6" s="3" t="s">
        <v>928</v>
      </c>
      <c r="C6" t="s">
        <v>891</v>
      </c>
      <c r="D6"/>
      <c r="F6">
        <f t="shared" si="0"/>
        <v>0</v>
      </c>
      <c r="G6">
        <f t="shared" si="1"/>
        <v>0</v>
      </c>
    </row>
    <row r="7" spans="1:10" ht="64" x14ac:dyDescent="0.2">
      <c r="A7" s="3" t="s">
        <v>796</v>
      </c>
      <c r="B7" s="3" t="s">
        <v>929</v>
      </c>
      <c r="C7" t="s">
        <v>1020</v>
      </c>
      <c r="D7"/>
      <c r="F7">
        <f t="shared" si="0"/>
        <v>0</v>
      </c>
      <c r="G7">
        <f t="shared" si="1"/>
        <v>0</v>
      </c>
    </row>
    <row r="8" spans="1:10" ht="48" x14ac:dyDescent="0.2">
      <c r="A8" s="3" t="s">
        <v>797</v>
      </c>
      <c r="B8" s="3" t="s">
        <v>930</v>
      </c>
      <c r="C8" t="s">
        <v>13</v>
      </c>
      <c r="D8"/>
      <c r="F8">
        <f t="shared" si="0"/>
        <v>0</v>
      </c>
      <c r="G8">
        <f t="shared" si="1"/>
        <v>0</v>
      </c>
    </row>
    <row r="9" spans="1:10" ht="48" x14ac:dyDescent="0.2">
      <c r="A9" s="3" t="s">
        <v>798</v>
      </c>
      <c r="B9" s="3" t="s">
        <v>931</v>
      </c>
      <c r="C9" t="s">
        <v>21</v>
      </c>
      <c r="D9"/>
      <c r="F9">
        <f t="shared" si="0"/>
        <v>0</v>
      </c>
      <c r="G9">
        <f t="shared" si="1"/>
        <v>0</v>
      </c>
    </row>
    <row r="10" spans="1:10" ht="48" x14ac:dyDescent="0.2">
      <c r="A10" s="3" t="s">
        <v>799</v>
      </c>
      <c r="B10" s="3" t="s">
        <v>932</v>
      </c>
      <c r="C10" t="s">
        <v>22</v>
      </c>
      <c r="D10"/>
      <c r="F10">
        <f t="shared" si="0"/>
        <v>0</v>
      </c>
      <c r="G10">
        <f t="shared" si="1"/>
        <v>0</v>
      </c>
    </row>
    <row r="11" spans="1:10" ht="64" x14ac:dyDescent="0.2">
      <c r="A11" s="3" t="s">
        <v>800</v>
      </c>
      <c r="B11" s="3" t="s">
        <v>933</v>
      </c>
      <c r="C11" t="s">
        <v>5</v>
      </c>
      <c r="D11"/>
      <c r="E11" t="s">
        <v>1021</v>
      </c>
      <c r="F11">
        <f t="shared" si="0"/>
        <v>0</v>
      </c>
      <c r="G11">
        <v>2</v>
      </c>
    </row>
    <row r="12" spans="1:10" ht="112" x14ac:dyDescent="0.2">
      <c r="A12" s="3" t="s">
        <v>801</v>
      </c>
      <c r="B12" s="3" t="s">
        <v>934</v>
      </c>
      <c r="C12" t="s">
        <v>240</v>
      </c>
      <c r="D12"/>
      <c r="E12" t="s">
        <v>86</v>
      </c>
      <c r="F12">
        <f t="shared" si="0"/>
        <v>0</v>
      </c>
      <c r="G12">
        <f t="shared" si="1"/>
        <v>1</v>
      </c>
    </row>
    <row r="13" spans="1:10" ht="64" x14ac:dyDescent="0.2">
      <c r="A13" s="3" t="s">
        <v>802</v>
      </c>
      <c r="B13" s="3" t="s">
        <v>935</v>
      </c>
      <c r="C13" t="s">
        <v>149</v>
      </c>
      <c r="D13"/>
      <c r="F13">
        <f t="shared" si="0"/>
        <v>0</v>
      </c>
      <c r="G13">
        <f t="shared" si="1"/>
        <v>0</v>
      </c>
    </row>
    <row r="14" spans="1:10" ht="48" x14ac:dyDescent="0.2">
      <c r="A14" s="3" t="s">
        <v>803</v>
      </c>
      <c r="B14" s="3" t="s">
        <v>936</v>
      </c>
      <c r="C14" t="s">
        <v>73</v>
      </c>
      <c r="D14"/>
      <c r="F14">
        <f t="shared" si="0"/>
        <v>0</v>
      </c>
      <c r="G14">
        <f t="shared" si="1"/>
        <v>0</v>
      </c>
    </row>
    <row r="15" spans="1:10" ht="64" x14ac:dyDescent="0.2">
      <c r="A15" s="3" t="s">
        <v>804</v>
      </c>
      <c r="B15" s="3" t="s">
        <v>937</v>
      </c>
      <c r="C15" t="s">
        <v>2</v>
      </c>
      <c r="D15"/>
      <c r="F15">
        <f t="shared" si="0"/>
        <v>0</v>
      </c>
      <c r="G15">
        <f t="shared" si="1"/>
        <v>0</v>
      </c>
    </row>
    <row r="16" spans="1:10" ht="48" x14ac:dyDescent="0.2">
      <c r="A16" s="3" t="s">
        <v>805</v>
      </c>
      <c r="B16" s="3" t="s">
        <v>938</v>
      </c>
      <c r="C16" t="s">
        <v>79</v>
      </c>
      <c r="D16"/>
      <c r="F16">
        <f t="shared" si="0"/>
        <v>0</v>
      </c>
      <c r="G16">
        <f t="shared" si="1"/>
        <v>0</v>
      </c>
    </row>
    <row r="17" spans="1:7" ht="64" x14ac:dyDescent="0.2">
      <c r="A17" s="3" t="s">
        <v>806</v>
      </c>
      <c r="B17" s="3" t="s">
        <v>939</v>
      </c>
      <c r="C17" t="s">
        <v>2</v>
      </c>
      <c r="D17"/>
      <c r="F17">
        <f t="shared" si="0"/>
        <v>0</v>
      </c>
      <c r="G17">
        <f t="shared" si="1"/>
        <v>0</v>
      </c>
    </row>
    <row r="18" spans="1:7" ht="48" x14ac:dyDescent="0.2">
      <c r="A18" s="3" t="s">
        <v>807</v>
      </c>
      <c r="B18" s="3" t="s">
        <v>989</v>
      </c>
      <c r="C18" t="s">
        <v>126</v>
      </c>
      <c r="D18"/>
      <c r="F18">
        <f t="shared" si="0"/>
        <v>0</v>
      </c>
      <c r="G18">
        <f t="shared" si="1"/>
        <v>0</v>
      </c>
    </row>
    <row r="19" spans="1:7" ht="64" x14ac:dyDescent="0.2">
      <c r="A19" s="3" t="s">
        <v>808</v>
      </c>
      <c r="B19" s="3" t="s">
        <v>990</v>
      </c>
      <c r="C19" t="s">
        <v>892</v>
      </c>
      <c r="D19" t="s">
        <v>1022</v>
      </c>
      <c r="F19">
        <f t="shared" si="0"/>
        <v>1</v>
      </c>
      <c r="G19">
        <f t="shared" si="1"/>
        <v>0</v>
      </c>
    </row>
    <row r="20" spans="1:7" ht="64" x14ac:dyDescent="0.2">
      <c r="A20" s="3" t="s">
        <v>809</v>
      </c>
      <c r="B20" s="3" t="s">
        <v>991</v>
      </c>
      <c r="C20" t="s">
        <v>6</v>
      </c>
      <c r="D20"/>
      <c r="F20">
        <f t="shared" si="0"/>
        <v>0</v>
      </c>
      <c r="G20">
        <f t="shared" si="1"/>
        <v>0</v>
      </c>
    </row>
    <row r="21" spans="1:7" ht="64" x14ac:dyDescent="0.2">
      <c r="A21" s="3" t="s">
        <v>810</v>
      </c>
      <c r="B21" s="3" t="s">
        <v>940</v>
      </c>
      <c r="C21" t="s">
        <v>893</v>
      </c>
      <c r="D21"/>
      <c r="F21">
        <f t="shared" si="0"/>
        <v>0</v>
      </c>
      <c r="G21">
        <f t="shared" si="1"/>
        <v>0</v>
      </c>
    </row>
    <row r="22" spans="1:7" ht="64" x14ac:dyDescent="0.2">
      <c r="A22" s="3" t="s">
        <v>811</v>
      </c>
      <c r="B22" s="3" t="s">
        <v>992</v>
      </c>
      <c r="C22" t="s">
        <v>105</v>
      </c>
      <c r="D22"/>
      <c r="F22">
        <f t="shared" si="0"/>
        <v>0</v>
      </c>
      <c r="G22">
        <f t="shared" si="1"/>
        <v>0</v>
      </c>
    </row>
    <row r="23" spans="1:7" ht="41" customHeight="1" x14ac:dyDescent="0.2">
      <c r="A23" s="3" t="s">
        <v>812</v>
      </c>
      <c r="B23" s="3" t="s">
        <v>993</v>
      </c>
      <c r="C23" t="s">
        <v>62</v>
      </c>
      <c r="D23"/>
      <c r="F23">
        <f t="shared" si="0"/>
        <v>0</v>
      </c>
      <c r="G23">
        <f t="shared" si="1"/>
        <v>0</v>
      </c>
    </row>
    <row r="24" spans="1:7" ht="92" customHeight="1" x14ac:dyDescent="0.2">
      <c r="A24" s="3" t="s">
        <v>813</v>
      </c>
      <c r="B24" s="3" t="s">
        <v>994</v>
      </c>
      <c r="C24" t="s">
        <v>292</v>
      </c>
      <c r="D24"/>
      <c r="F24">
        <f t="shared" si="0"/>
        <v>0</v>
      </c>
      <c r="G24">
        <f t="shared" si="1"/>
        <v>0</v>
      </c>
    </row>
    <row r="25" spans="1:7" ht="48" x14ac:dyDescent="0.2">
      <c r="A25" s="3" t="s">
        <v>814</v>
      </c>
      <c r="B25" s="3" t="s">
        <v>941</v>
      </c>
      <c r="C25" t="s">
        <v>2</v>
      </c>
      <c r="D25"/>
      <c r="F25">
        <f t="shared" si="0"/>
        <v>0</v>
      </c>
      <c r="G25">
        <f t="shared" si="1"/>
        <v>0</v>
      </c>
    </row>
    <row r="26" spans="1:7" ht="80" x14ac:dyDescent="0.2">
      <c r="A26" s="3" t="s">
        <v>815</v>
      </c>
      <c r="B26" s="3" t="s">
        <v>942</v>
      </c>
      <c r="C26" t="s">
        <v>34</v>
      </c>
      <c r="D26"/>
      <c r="F26">
        <f t="shared" si="0"/>
        <v>0</v>
      </c>
      <c r="G26">
        <f t="shared" si="1"/>
        <v>0</v>
      </c>
    </row>
    <row r="27" spans="1:7" ht="89" customHeight="1" x14ac:dyDescent="0.2">
      <c r="A27" s="3" t="s">
        <v>816</v>
      </c>
      <c r="B27" s="3" t="s">
        <v>943</v>
      </c>
      <c r="C27" t="s">
        <v>894</v>
      </c>
      <c r="D27" t="s">
        <v>1022</v>
      </c>
      <c r="F27">
        <f t="shared" si="0"/>
        <v>1</v>
      </c>
      <c r="G27">
        <f t="shared" si="1"/>
        <v>0</v>
      </c>
    </row>
    <row r="28" spans="1:7" ht="48" x14ac:dyDescent="0.2">
      <c r="A28" s="3" t="s">
        <v>817</v>
      </c>
      <c r="B28" s="3" t="s">
        <v>944</v>
      </c>
      <c r="C28" t="s">
        <v>895</v>
      </c>
      <c r="D28"/>
      <c r="F28">
        <f t="shared" si="0"/>
        <v>0</v>
      </c>
      <c r="G28">
        <f t="shared" si="1"/>
        <v>0</v>
      </c>
    </row>
    <row r="29" spans="1:7" ht="64" x14ac:dyDescent="0.2">
      <c r="A29" s="3" t="s">
        <v>818</v>
      </c>
      <c r="B29" s="3" t="s">
        <v>945</v>
      </c>
      <c r="C29" t="s">
        <v>896</v>
      </c>
      <c r="D29"/>
      <c r="F29">
        <f t="shared" si="0"/>
        <v>0</v>
      </c>
      <c r="G29">
        <f t="shared" si="1"/>
        <v>0</v>
      </c>
    </row>
    <row r="30" spans="1:7" ht="48" x14ac:dyDescent="0.2">
      <c r="A30" s="3" t="s">
        <v>819</v>
      </c>
      <c r="B30" s="3" t="s">
        <v>995</v>
      </c>
      <c r="C30" t="s">
        <v>31</v>
      </c>
      <c r="D30"/>
      <c r="F30">
        <f t="shared" si="0"/>
        <v>0</v>
      </c>
      <c r="G30">
        <f t="shared" si="1"/>
        <v>0</v>
      </c>
    </row>
    <row r="31" spans="1:7" ht="64" x14ac:dyDescent="0.2">
      <c r="A31" s="3" t="s">
        <v>820</v>
      </c>
      <c r="B31" s="3" t="s">
        <v>996</v>
      </c>
      <c r="C31" t="s">
        <v>897</v>
      </c>
      <c r="D31"/>
      <c r="F31">
        <f t="shared" si="0"/>
        <v>0</v>
      </c>
      <c r="G31">
        <f t="shared" si="1"/>
        <v>0</v>
      </c>
    </row>
    <row r="32" spans="1:7" ht="64" x14ac:dyDescent="0.2">
      <c r="A32" s="3" t="s">
        <v>821</v>
      </c>
      <c r="B32" s="3" t="s">
        <v>1023</v>
      </c>
      <c r="C32" t="s">
        <v>137</v>
      </c>
      <c r="D32"/>
      <c r="F32">
        <f t="shared" si="0"/>
        <v>0</v>
      </c>
      <c r="G32">
        <f t="shared" si="1"/>
        <v>0</v>
      </c>
    </row>
    <row r="33" spans="1:7" ht="64" x14ac:dyDescent="0.2">
      <c r="A33" s="3" t="s">
        <v>822</v>
      </c>
      <c r="B33" s="3" t="s">
        <v>1024</v>
      </c>
      <c r="C33" t="s">
        <v>181</v>
      </c>
      <c r="D33"/>
      <c r="F33">
        <f t="shared" si="0"/>
        <v>0</v>
      </c>
      <c r="G33">
        <f t="shared" si="1"/>
        <v>0</v>
      </c>
    </row>
    <row r="34" spans="1:7" ht="64" x14ac:dyDescent="0.2">
      <c r="A34" s="3" t="s">
        <v>823</v>
      </c>
      <c r="B34" s="3" t="s">
        <v>997</v>
      </c>
      <c r="C34" t="s">
        <v>898</v>
      </c>
      <c r="D34"/>
      <c r="F34">
        <f t="shared" si="0"/>
        <v>0</v>
      </c>
      <c r="G34">
        <f t="shared" si="1"/>
        <v>0</v>
      </c>
    </row>
    <row r="35" spans="1:7" ht="64" x14ac:dyDescent="0.2">
      <c r="A35" s="3" t="s">
        <v>824</v>
      </c>
      <c r="B35" s="3" t="s">
        <v>998</v>
      </c>
      <c r="C35" t="s">
        <v>899</v>
      </c>
      <c r="D35"/>
      <c r="E35" t="s">
        <v>194</v>
      </c>
      <c r="F35">
        <f t="shared" si="0"/>
        <v>0</v>
      </c>
      <c r="G35">
        <f t="shared" si="1"/>
        <v>1</v>
      </c>
    </row>
    <row r="36" spans="1:7" ht="64" x14ac:dyDescent="0.2">
      <c r="A36" s="3" t="s">
        <v>825</v>
      </c>
      <c r="B36" s="3" t="s">
        <v>946</v>
      </c>
      <c r="C36" t="s">
        <v>66</v>
      </c>
      <c r="D36"/>
      <c r="F36">
        <f t="shared" si="0"/>
        <v>0</v>
      </c>
      <c r="G36">
        <f t="shared" si="1"/>
        <v>0</v>
      </c>
    </row>
    <row r="37" spans="1:7" ht="64" x14ac:dyDescent="0.2">
      <c r="A37" s="3" t="s">
        <v>826</v>
      </c>
      <c r="B37" s="3" t="s">
        <v>1025</v>
      </c>
      <c r="C37" t="s">
        <v>900</v>
      </c>
      <c r="D37"/>
      <c r="F37">
        <f t="shared" si="0"/>
        <v>0</v>
      </c>
      <c r="G37">
        <f t="shared" si="1"/>
        <v>0</v>
      </c>
    </row>
    <row r="38" spans="1:7" ht="64" x14ac:dyDescent="0.2">
      <c r="A38" s="3" t="s">
        <v>827</v>
      </c>
      <c r="B38" s="3" t="s">
        <v>1026</v>
      </c>
      <c r="C38" t="s">
        <v>68</v>
      </c>
      <c r="D38"/>
      <c r="F38">
        <f t="shared" si="0"/>
        <v>0</v>
      </c>
      <c r="G38">
        <f t="shared" si="1"/>
        <v>0</v>
      </c>
    </row>
    <row r="39" spans="1:7" ht="64" x14ac:dyDescent="0.2">
      <c r="A39" s="3" t="s">
        <v>828</v>
      </c>
      <c r="B39" s="3" t="s">
        <v>999</v>
      </c>
      <c r="C39" t="s">
        <v>79</v>
      </c>
      <c r="D39"/>
      <c r="F39">
        <f t="shared" si="0"/>
        <v>0</v>
      </c>
      <c r="G39">
        <f t="shared" si="1"/>
        <v>0</v>
      </c>
    </row>
    <row r="40" spans="1:7" ht="64" x14ac:dyDescent="0.2">
      <c r="A40" s="3" t="s">
        <v>829</v>
      </c>
      <c r="B40" s="3" t="s">
        <v>947</v>
      </c>
      <c r="C40" t="s">
        <v>901</v>
      </c>
      <c r="D40"/>
      <c r="F40">
        <f t="shared" si="0"/>
        <v>0</v>
      </c>
      <c r="G40">
        <f t="shared" si="1"/>
        <v>0</v>
      </c>
    </row>
    <row r="41" spans="1:7" ht="48" x14ac:dyDescent="0.2">
      <c r="A41" s="3" t="s">
        <v>830</v>
      </c>
      <c r="B41" s="3" t="s">
        <v>948</v>
      </c>
      <c r="C41" t="s">
        <v>188</v>
      </c>
      <c r="D41" t="s">
        <v>85</v>
      </c>
      <c r="F41">
        <f t="shared" si="0"/>
        <v>1</v>
      </c>
      <c r="G41">
        <f t="shared" si="1"/>
        <v>0</v>
      </c>
    </row>
    <row r="42" spans="1:7" ht="48" x14ac:dyDescent="0.2">
      <c r="A42" s="3" t="s">
        <v>831</v>
      </c>
      <c r="B42" s="3" t="s">
        <v>949</v>
      </c>
      <c r="C42" t="s">
        <v>97</v>
      </c>
      <c r="D42"/>
      <c r="F42">
        <f t="shared" si="0"/>
        <v>0</v>
      </c>
      <c r="G42">
        <f t="shared" si="1"/>
        <v>0</v>
      </c>
    </row>
    <row r="43" spans="1:7" ht="64" x14ac:dyDescent="0.2">
      <c r="A43" s="3" t="s">
        <v>832</v>
      </c>
      <c r="B43" s="3" t="s">
        <v>950</v>
      </c>
      <c r="C43" t="s">
        <v>902</v>
      </c>
      <c r="D43"/>
      <c r="F43">
        <f t="shared" si="0"/>
        <v>0</v>
      </c>
      <c r="G43">
        <f t="shared" si="1"/>
        <v>0</v>
      </c>
    </row>
    <row r="44" spans="1:7" ht="64" x14ac:dyDescent="0.2">
      <c r="A44" s="3" t="s">
        <v>833</v>
      </c>
      <c r="B44" s="3" t="s">
        <v>951</v>
      </c>
      <c r="C44" t="s">
        <v>3</v>
      </c>
      <c r="D44"/>
      <c r="F44">
        <f t="shared" si="0"/>
        <v>0</v>
      </c>
      <c r="G44">
        <f t="shared" si="1"/>
        <v>0</v>
      </c>
    </row>
    <row r="45" spans="1:7" ht="64" x14ac:dyDescent="0.2">
      <c r="A45" s="3" t="s">
        <v>834</v>
      </c>
      <c r="B45" s="3" t="s">
        <v>952</v>
      </c>
      <c r="C45" t="s">
        <v>286</v>
      </c>
      <c r="D45"/>
      <c r="F45">
        <f t="shared" si="0"/>
        <v>0</v>
      </c>
      <c r="G45">
        <f t="shared" si="1"/>
        <v>0</v>
      </c>
    </row>
    <row r="46" spans="1:7" ht="64" x14ac:dyDescent="0.2">
      <c r="A46" s="3" t="s">
        <v>835</v>
      </c>
      <c r="B46" s="3" t="s">
        <v>953</v>
      </c>
      <c r="C46" t="s">
        <v>67</v>
      </c>
      <c r="D46"/>
      <c r="F46">
        <f t="shared" si="0"/>
        <v>0</v>
      </c>
      <c r="G46">
        <f t="shared" si="1"/>
        <v>0</v>
      </c>
    </row>
    <row r="47" spans="1:7" ht="48" x14ac:dyDescent="0.2">
      <c r="A47" s="3" t="s">
        <v>836</v>
      </c>
      <c r="B47" s="3" t="s">
        <v>954</v>
      </c>
      <c r="C47" t="s">
        <v>79</v>
      </c>
      <c r="D47"/>
      <c r="F47">
        <f t="shared" si="0"/>
        <v>0</v>
      </c>
      <c r="G47">
        <f t="shared" si="1"/>
        <v>0</v>
      </c>
    </row>
    <row r="48" spans="1:7" ht="48" x14ac:dyDescent="0.2">
      <c r="A48" s="3" t="s">
        <v>837</v>
      </c>
      <c r="B48" s="3" t="s">
        <v>1002</v>
      </c>
      <c r="C48" t="s">
        <v>70</v>
      </c>
      <c r="D48"/>
      <c r="F48">
        <f t="shared" si="0"/>
        <v>0</v>
      </c>
      <c r="G48">
        <f t="shared" si="1"/>
        <v>0</v>
      </c>
    </row>
    <row r="49" spans="1:7" ht="112" x14ac:dyDescent="0.2">
      <c r="A49" s="3" t="s">
        <v>838</v>
      </c>
      <c r="B49" s="3" t="s">
        <v>1000</v>
      </c>
      <c r="C49" t="s">
        <v>903</v>
      </c>
      <c r="D49"/>
      <c r="F49">
        <f t="shared" si="0"/>
        <v>0</v>
      </c>
      <c r="G49">
        <f t="shared" si="1"/>
        <v>0</v>
      </c>
    </row>
    <row r="50" spans="1:7" ht="64" x14ac:dyDescent="0.2">
      <c r="A50" s="3" t="s">
        <v>839</v>
      </c>
      <c r="B50" s="3" t="s">
        <v>1001</v>
      </c>
      <c r="C50" t="s">
        <v>904</v>
      </c>
      <c r="D50"/>
      <c r="E50" t="s">
        <v>790</v>
      </c>
      <c r="F50">
        <f t="shared" si="0"/>
        <v>0</v>
      </c>
      <c r="G50">
        <f t="shared" si="1"/>
        <v>1</v>
      </c>
    </row>
    <row r="51" spans="1:7" ht="64" x14ac:dyDescent="0.2">
      <c r="A51" s="3" t="s">
        <v>840</v>
      </c>
      <c r="B51" s="3" t="s">
        <v>1003</v>
      </c>
      <c r="C51" t="s">
        <v>157</v>
      </c>
      <c r="D51" t="s">
        <v>153</v>
      </c>
      <c r="F51">
        <f t="shared" si="0"/>
        <v>1</v>
      </c>
      <c r="G51">
        <f t="shared" si="1"/>
        <v>0</v>
      </c>
    </row>
    <row r="52" spans="1:7" ht="48" x14ac:dyDescent="0.2">
      <c r="A52" s="3" t="s">
        <v>841</v>
      </c>
      <c r="B52" s="3" t="s">
        <v>955</v>
      </c>
      <c r="C52" t="s">
        <v>67</v>
      </c>
      <c r="D52"/>
      <c r="F52">
        <f t="shared" si="0"/>
        <v>0</v>
      </c>
      <c r="G52">
        <f t="shared" si="1"/>
        <v>0</v>
      </c>
    </row>
    <row r="53" spans="1:7" ht="64" x14ac:dyDescent="0.2">
      <c r="A53" s="3" t="s">
        <v>842</v>
      </c>
      <c r="B53" s="3" t="s">
        <v>956</v>
      </c>
      <c r="C53" t="s">
        <v>905</v>
      </c>
      <c r="D53"/>
      <c r="F53">
        <f t="shared" si="0"/>
        <v>0</v>
      </c>
      <c r="G53">
        <f t="shared" si="1"/>
        <v>0</v>
      </c>
    </row>
    <row r="54" spans="1:7" ht="64" x14ac:dyDescent="0.2">
      <c r="A54" s="3" t="s">
        <v>843</v>
      </c>
      <c r="B54" s="3" t="s">
        <v>1004</v>
      </c>
      <c r="C54" t="s">
        <v>190</v>
      </c>
      <c r="D54"/>
      <c r="F54">
        <f t="shared" si="0"/>
        <v>0</v>
      </c>
      <c r="G54">
        <f t="shared" si="1"/>
        <v>0</v>
      </c>
    </row>
    <row r="55" spans="1:7" ht="64" x14ac:dyDescent="0.2">
      <c r="A55" s="3" t="s">
        <v>844</v>
      </c>
      <c r="B55" s="3" t="s">
        <v>957</v>
      </c>
      <c r="C55" t="s">
        <v>245</v>
      </c>
      <c r="D55"/>
      <c r="F55">
        <f t="shared" si="0"/>
        <v>0</v>
      </c>
      <c r="G55">
        <f t="shared" si="1"/>
        <v>0</v>
      </c>
    </row>
    <row r="56" spans="1:7" ht="48" x14ac:dyDescent="0.2">
      <c r="A56" s="3" t="s">
        <v>845</v>
      </c>
      <c r="B56" s="3" t="s">
        <v>958</v>
      </c>
      <c r="C56" t="s">
        <v>906</v>
      </c>
      <c r="D56"/>
      <c r="F56">
        <f t="shared" si="0"/>
        <v>0</v>
      </c>
      <c r="G56">
        <f t="shared" si="1"/>
        <v>0</v>
      </c>
    </row>
    <row r="57" spans="1:7" ht="64" x14ac:dyDescent="0.2">
      <c r="A57" s="3" t="s">
        <v>846</v>
      </c>
      <c r="B57" s="3" t="s">
        <v>959</v>
      </c>
      <c r="C57" t="s">
        <v>669</v>
      </c>
      <c r="D57"/>
      <c r="F57">
        <f t="shared" si="0"/>
        <v>0</v>
      </c>
      <c r="G57">
        <f t="shared" si="1"/>
        <v>0</v>
      </c>
    </row>
    <row r="58" spans="1:7" ht="64" x14ac:dyDescent="0.2">
      <c r="A58" s="3" t="s">
        <v>847</v>
      </c>
      <c r="B58" s="3" t="s">
        <v>960</v>
      </c>
      <c r="C58" t="s">
        <v>145</v>
      </c>
      <c r="D58"/>
      <c r="F58">
        <f t="shared" si="0"/>
        <v>0</v>
      </c>
      <c r="G58">
        <f t="shared" si="1"/>
        <v>0</v>
      </c>
    </row>
    <row r="59" spans="1:7" ht="64" x14ac:dyDescent="0.2">
      <c r="A59" s="3" t="s">
        <v>848</v>
      </c>
      <c r="B59" s="3" t="s">
        <v>961</v>
      </c>
      <c r="C59" t="s">
        <v>114</v>
      </c>
      <c r="D59"/>
      <c r="F59">
        <f t="shared" si="0"/>
        <v>0</v>
      </c>
      <c r="G59">
        <f t="shared" si="1"/>
        <v>0</v>
      </c>
    </row>
    <row r="60" spans="1:7" ht="64" x14ac:dyDescent="0.2">
      <c r="A60" s="3" t="s">
        <v>849</v>
      </c>
      <c r="B60" s="3" t="s">
        <v>962</v>
      </c>
      <c r="C60" t="s">
        <v>907</v>
      </c>
      <c r="D60"/>
      <c r="F60">
        <f t="shared" si="0"/>
        <v>0</v>
      </c>
      <c r="G60">
        <f t="shared" si="1"/>
        <v>0</v>
      </c>
    </row>
    <row r="61" spans="1:7" ht="64" x14ac:dyDescent="0.2">
      <c r="A61" s="3" t="s">
        <v>850</v>
      </c>
      <c r="B61" s="3" t="s">
        <v>963</v>
      </c>
      <c r="C61" t="s">
        <v>20</v>
      </c>
      <c r="D61"/>
      <c r="F61">
        <f t="shared" si="0"/>
        <v>0</v>
      </c>
      <c r="G61">
        <f t="shared" si="1"/>
        <v>0</v>
      </c>
    </row>
    <row r="62" spans="1:7" ht="48" x14ac:dyDescent="0.2">
      <c r="A62" s="3" t="s">
        <v>851</v>
      </c>
      <c r="B62" s="3" t="s">
        <v>964</v>
      </c>
      <c r="C62" t="s">
        <v>908</v>
      </c>
      <c r="D62" t="s">
        <v>153</v>
      </c>
      <c r="F62">
        <f t="shared" si="0"/>
        <v>1</v>
      </c>
      <c r="G62">
        <f t="shared" si="1"/>
        <v>0</v>
      </c>
    </row>
    <row r="63" spans="1:7" ht="80" x14ac:dyDescent="0.2">
      <c r="A63" s="3" t="s">
        <v>167</v>
      </c>
      <c r="B63" s="3" t="s">
        <v>965</v>
      </c>
      <c r="C63" t="s">
        <v>164</v>
      </c>
      <c r="D63"/>
      <c r="F63">
        <f t="shared" si="0"/>
        <v>0</v>
      </c>
      <c r="G63">
        <f t="shared" si="1"/>
        <v>0</v>
      </c>
    </row>
    <row r="64" spans="1:7" ht="64" x14ac:dyDescent="0.2">
      <c r="A64" s="3" t="s">
        <v>852</v>
      </c>
      <c r="B64" s="3" t="s">
        <v>966</v>
      </c>
      <c r="C64" t="s">
        <v>909</v>
      </c>
      <c r="D64"/>
      <c r="F64">
        <f t="shared" si="0"/>
        <v>0</v>
      </c>
      <c r="G64">
        <f t="shared" si="1"/>
        <v>0</v>
      </c>
    </row>
    <row r="65" spans="1:7" ht="80" x14ac:dyDescent="0.2">
      <c r="A65" s="3" t="s">
        <v>853</v>
      </c>
      <c r="B65" s="3" t="s">
        <v>1005</v>
      </c>
      <c r="C65" t="s">
        <v>6</v>
      </c>
      <c r="D65"/>
      <c r="F65">
        <f t="shared" si="0"/>
        <v>0</v>
      </c>
      <c r="G65">
        <f t="shared" si="1"/>
        <v>0</v>
      </c>
    </row>
    <row r="66" spans="1:7" ht="84" customHeight="1" x14ac:dyDescent="0.2">
      <c r="A66" s="3" t="s">
        <v>854</v>
      </c>
      <c r="B66" s="3" t="s">
        <v>1006</v>
      </c>
      <c r="C66" t="s">
        <v>132</v>
      </c>
      <c r="D66"/>
      <c r="F66">
        <f t="shared" si="0"/>
        <v>0</v>
      </c>
      <c r="G66">
        <f t="shared" si="1"/>
        <v>0</v>
      </c>
    </row>
    <row r="67" spans="1:7" ht="64" x14ac:dyDescent="0.2">
      <c r="A67" s="3" t="s">
        <v>855</v>
      </c>
      <c r="B67" s="3" t="s">
        <v>967</v>
      </c>
      <c r="C67" t="s">
        <v>910</v>
      </c>
      <c r="D67"/>
      <c r="F67">
        <f t="shared" ref="F67:F101" si="2">IF(D67="",0,1)</f>
        <v>0</v>
      </c>
      <c r="G67">
        <f t="shared" ref="G67:G101" si="3">IF(E67="",0,1)</f>
        <v>0</v>
      </c>
    </row>
    <row r="68" spans="1:7" ht="64" x14ac:dyDescent="0.2">
      <c r="A68" s="3" t="s">
        <v>856</v>
      </c>
      <c r="B68" s="7" t="s">
        <v>968</v>
      </c>
      <c r="C68" t="s">
        <v>20</v>
      </c>
      <c r="D68"/>
      <c r="F68">
        <f t="shared" si="2"/>
        <v>0</v>
      </c>
      <c r="G68">
        <f t="shared" si="3"/>
        <v>0</v>
      </c>
    </row>
    <row r="69" spans="1:7" ht="64" x14ac:dyDescent="0.2">
      <c r="A69" s="3" t="s">
        <v>857</v>
      </c>
      <c r="B69" s="3" t="s">
        <v>969</v>
      </c>
      <c r="C69" t="s">
        <v>911</v>
      </c>
      <c r="D69"/>
      <c r="F69">
        <f t="shared" si="2"/>
        <v>0</v>
      </c>
      <c r="G69">
        <f t="shared" si="3"/>
        <v>0</v>
      </c>
    </row>
    <row r="70" spans="1:7" ht="48" x14ac:dyDescent="0.2">
      <c r="A70" s="3" t="s">
        <v>858</v>
      </c>
      <c r="B70" s="3" t="s">
        <v>970</v>
      </c>
      <c r="C70" t="s">
        <v>7</v>
      </c>
      <c r="D70"/>
      <c r="F70">
        <f t="shared" si="2"/>
        <v>0</v>
      </c>
      <c r="G70">
        <f t="shared" si="3"/>
        <v>0</v>
      </c>
    </row>
    <row r="71" spans="1:7" ht="48" x14ac:dyDescent="0.2">
      <c r="A71" s="3" t="s">
        <v>859</v>
      </c>
      <c r="B71" s="3" t="s">
        <v>1007</v>
      </c>
      <c r="C71" t="s">
        <v>912</v>
      </c>
      <c r="D71"/>
      <c r="F71">
        <f t="shared" si="2"/>
        <v>0</v>
      </c>
      <c r="G71">
        <f t="shared" si="3"/>
        <v>0</v>
      </c>
    </row>
    <row r="72" spans="1:7" ht="64" x14ac:dyDescent="0.2">
      <c r="A72" s="3" t="s">
        <v>860</v>
      </c>
      <c r="B72" s="3" t="s">
        <v>1008</v>
      </c>
      <c r="C72" t="s">
        <v>99</v>
      </c>
      <c r="D72" t="s">
        <v>85</v>
      </c>
      <c r="E72" t="s">
        <v>49</v>
      </c>
      <c r="F72">
        <f t="shared" si="2"/>
        <v>1</v>
      </c>
      <c r="G72">
        <f t="shared" si="3"/>
        <v>1</v>
      </c>
    </row>
    <row r="73" spans="1:7" ht="64" x14ac:dyDescent="0.2">
      <c r="A73" s="3" t="s">
        <v>861</v>
      </c>
      <c r="B73" s="3" t="s">
        <v>971</v>
      </c>
      <c r="C73" t="s">
        <v>70</v>
      </c>
      <c r="D73"/>
      <c r="F73">
        <f t="shared" si="2"/>
        <v>0</v>
      </c>
      <c r="G73">
        <f t="shared" si="3"/>
        <v>0</v>
      </c>
    </row>
    <row r="74" spans="1:7" ht="32" x14ac:dyDescent="0.2">
      <c r="A74" s="3" t="s">
        <v>862</v>
      </c>
      <c r="B74" s="3" t="s">
        <v>972</v>
      </c>
      <c r="C74" t="s">
        <v>913</v>
      </c>
      <c r="D74"/>
      <c r="F74">
        <f t="shared" si="2"/>
        <v>0</v>
      </c>
      <c r="G74">
        <f t="shared" si="3"/>
        <v>0</v>
      </c>
    </row>
    <row r="75" spans="1:7" ht="48" x14ac:dyDescent="0.2">
      <c r="A75" s="3" t="s">
        <v>863</v>
      </c>
      <c r="B75" s="3" t="s">
        <v>1009</v>
      </c>
      <c r="C75" t="s">
        <v>2</v>
      </c>
      <c r="D75"/>
      <c r="F75">
        <f t="shared" si="2"/>
        <v>0</v>
      </c>
      <c r="G75">
        <f t="shared" si="3"/>
        <v>0</v>
      </c>
    </row>
    <row r="76" spans="1:7" ht="48" x14ac:dyDescent="0.2">
      <c r="A76" s="3" t="s">
        <v>864</v>
      </c>
      <c r="B76" s="3" t="s">
        <v>973</v>
      </c>
      <c r="C76" t="s">
        <v>229</v>
      </c>
      <c r="D76"/>
      <c r="F76">
        <f t="shared" si="2"/>
        <v>0</v>
      </c>
      <c r="G76">
        <f t="shared" si="3"/>
        <v>0</v>
      </c>
    </row>
    <row r="77" spans="1:7" ht="64" x14ac:dyDescent="0.2">
      <c r="A77" s="3" t="s">
        <v>865</v>
      </c>
      <c r="B77" s="3" t="s">
        <v>974</v>
      </c>
      <c r="C77" t="s">
        <v>914</v>
      </c>
      <c r="D77"/>
      <c r="F77">
        <f t="shared" si="2"/>
        <v>0</v>
      </c>
      <c r="G77">
        <f t="shared" si="3"/>
        <v>0</v>
      </c>
    </row>
    <row r="78" spans="1:7" ht="64" x14ac:dyDescent="0.2">
      <c r="A78" s="3" t="s">
        <v>866</v>
      </c>
      <c r="B78" s="3" t="s">
        <v>975</v>
      </c>
      <c r="C78" t="s">
        <v>915</v>
      </c>
      <c r="D78"/>
      <c r="F78">
        <f t="shared" si="2"/>
        <v>0</v>
      </c>
      <c r="G78">
        <f t="shared" si="3"/>
        <v>0</v>
      </c>
    </row>
    <row r="79" spans="1:7" ht="48" x14ac:dyDescent="0.2">
      <c r="A79" s="3" t="s">
        <v>867</v>
      </c>
      <c r="B79" s="3" t="s">
        <v>976</v>
      </c>
      <c r="C79" t="s">
        <v>916</v>
      </c>
      <c r="D79"/>
      <c r="F79">
        <f t="shared" si="2"/>
        <v>0</v>
      </c>
      <c r="G79">
        <f t="shared" si="3"/>
        <v>0</v>
      </c>
    </row>
    <row r="80" spans="1:7" ht="64" x14ac:dyDescent="0.2">
      <c r="A80" s="3" t="s">
        <v>868</v>
      </c>
      <c r="B80" s="3" t="s">
        <v>977</v>
      </c>
      <c r="C80" t="s">
        <v>245</v>
      </c>
      <c r="D80"/>
      <c r="F80">
        <f t="shared" si="2"/>
        <v>0</v>
      </c>
      <c r="G80">
        <f t="shared" si="3"/>
        <v>0</v>
      </c>
    </row>
    <row r="81" spans="1:7" ht="64" x14ac:dyDescent="0.2">
      <c r="A81" s="3" t="s">
        <v>869</v>
      </c>
      <c r="B81" s="3" t="s">
        <v>978</v>
      </c>
      <c r="C81" t="s">
        <v>70</v>
      </c>
      <c r="D81"/>
      <c r="F81">
        <f t="shared" si="2"/>
        <v>0</v>
      </c>
      <c r="G81">
        <f t="shared" si="3"/>
        <v>0</v>
      </c>
    </row>
    <row r="82" spans="1:7" ht="64" x14ac:dyDescent="0.2">
      <c r="A82" s="3" t="s">
        <v>870</v>
      </c>
      <c r="B82" s="3" t="s">
        <v>979</v>
      </c>
      <c r="C82" t="s">
        <v>15</v>
      </c>
      <c r="D82"/>
      <c r="F82">
        <f t="shared" si="2"/>
        <v>0</v>
      </c>
      <c r="G82">
        <f t="shared" si="3"/>
        <v>0</v>
      </c>
    </row>
    <row r="83" spans="1:7" ht="64" x14ac:dyDescent="0.2">
      <c r="A83" s="3" t="s">
        <v>871</v>
      </c>
      <c r="B83" s="3" t="s">
        <v>980</v>
      </c>
      <c r="C83" t="s">
        <v>20</v>
      </c>
      <c r="D83"/>
      <c r="E83" t="s">
        <v>259</v>
      </c>
      <c r="F83">
        <f t="shared" si="2"/>
        <v>0</v>
      </c>
      <c r="G83">
        <f t="shared" si="3"/>
        <v>1</v>
      </c>
    </row>
    <row r="84" spans="1:7" ht="64" x14ac:dyDescent="0.2">
      <c r="A84" s="3" t="s">
        <v>872</v>
      </c>
      <c r="B84" s="3" t="s">
        <v>981</v>
      </c>
      <c r="C84" t="s">
        <v>917</v>
      </c>
      <c r="D84"/>
      <c r="F84">
        <f t="shared" si="2"/>
        <v>0</v>
      </c>
      <c r="G84">
        <f t="shared" si="3"/>
        <v>0</v>
      </c>
    </row>
    <row r="85" spans="1:7" ht="48" x14ac:dyDescent="0.2">
      <c r="A85" s="3" t="s">
        <v>873</v>
      </c>
      <c r="B85" s="3" t="s">
        <v>982</v>
      </c>
      <c r="C85" t="s">
        <v>149</v>
      </c>
      <c r="D85"/>
      <c r="F85">
        <f t="shared" si="2"/>
        <v>0</v>
      </c>
      <c r="G85">
        <f t="shared" si="3"/>
        <v>0</v>
      </c>
    </row>
    <row r="86" spans="1:7" ht="64" x14ac:dyDescent="0.2">
      <c r="A86" s="3" t="s">
        <v>874</v>
      </c>
      <c r="B86" s="3" t="s">
        <v>983</v>
      </c>
      <c r="C86" t="s">
        <v>918</v>
      </c>
      <c r="D86"/>
      <c r="F86">
        <f t="shared" si="2"/>
        <v>0</v>
      </c>
      <c r="G86">
        <f t="shared" si="3"/>
        <v>0</v>
      </c>
    </row>
    <row r="87" spans="1:7" ht="64" x14ac:dyDescent="0.2">
      <c r="A87" s="3" t="s">
        <v>875</v>
      </c>
      <c r="B87" s="3" t="s">
        <v>984</v>
      </c>
      <c r="C87" t="s">
        <v>919</v>
      </c>
      <c r="D87"/>
      <c r="F87">
        <f t="shared" si="2"/>
        <v>0</v>
      </c>
      <c r="G87">
        <f t="shared" si="3"/>
        <v>0</v>
      </c>
    </row>
    <row r="88" spans="1:7" ht="48" x14ac:dyDescent="0.2">
      <c r="A88" s="3" t="s">
        <v>876</v>
      </c>
      <c r="B88" s="3" t="s">
        <v>985</v>
      </c>
      <c r="C88" t="s">
        <v>5</v>
      </c>
      <c r="D88"/>
      <c r="F88">
        <f t="shared" si="2"/>
        <v>0</v>
      </c>
      <c r="G88">
        <f t="shared" si="3"/>
        <v>0</v>
      </c>
    </row>
    <row r="89" spans="1:7" ht="48" x14ac:dyDescent="0.2">
      <c r="A89" s="3" t="s">
        <v>877</v>
      </c>
      <c r="B89" s="3" t="s">
        <v>986</v>
      </c>
      <c r="C89" t="s">
        <v>19</v>
      </c>
      <c r="D89"/>
      <c r="F89">
        <f t="shared" si="2"/>
        <v>0</v>
      </c>
      <c r="G89">
        <f t="shared" si="3"/>
        <v>0</v>
      </c>
    </row>
    <row r="90" spans="1:7" ht="48" x14ac:dyDescent="0.2">
      <c r="A90" s="3" t="s">
        <v>878</v>
      </c>
      <c r="B90" s="3" t="s">
        <v>987</v>
      </c>
      <c r="C90" t="s">
        <v>84</v>
      </c>
      <c r="D90"/>
      <c r="F90">
        <f t="shared" si="2"/>
        <v>0</v>
      </c>
      <c r="G90">
        <f t="shared" si="3"/>
        <v>0</v>
      </c>
    </row>
    <row r="91" spans="1:7" ht="48" x14ac:dyDescent="0.2">
      <c r="A91" s="3" t="s">
        <v>879</v>
      </c>
      <c r="B91" s="3" t="s">
        <v>1010</v>
      </c>
      <c r="C91" t="s">
        <v>241</v>
      </c>
      <c r="D91" t="s">
        <v>141</v>
      </c>
      <c r="F91">
        <f t="shared" si="2"/>
        <v>1</v>
      </c>
      <c r="G91">
        <f t="shared" si="3"/>
        <v>0</v>
      </c>
    </row>
    <row r="92" spans="1:7" ht="80" x14ac:dyDescent="0.2">
      <c r="A92" s="3" t="s">
        <v>880</v>
      </c>
      <c r="B92" s="3" t="s">
        <v>1011</v>
      </c>
      <c r="C92" t="s">
        <v>920</v>
      </c>
      <c r="D92" t="s">
        <v>1027</v>
      </c>
      <c r="F92">
        <f t="shared" si="2"/>
        <v>1</v>
      </c>
      <c r="G92">
        <f t="shared" si="3"/>
        <v>0</v>
      </c>
    </row>
    <row r="93" spans="1:7" ht="64" x14ac:dyDescent="0.2">
      <c r="A93" s="3" t="s">
        <v>881</v>
      </c>
      <c r="B93" s="3" t="s">
        <v>1012</v>
      </c>
      <c r="C93" t="s">
        <v>134</v>
      </c>
      <c r="D93"/>
      <c r="F93">
        <f t="shared" si="2"/>
        <v>0</v>
      </c>
      <c r="G93">
        <f t="shared" si="3"/>
        <v>0</v>
      </c>
    </row>
    <row r="94" spans="1:7" ht="64" x14ac:dyDescent="0.2">
      <c r="A94" s="3" t="s">
        <v>882</v>
      </c>
      <c r="B94" s="3" t="s">
        <v>1013</v>
      </c>
      <c r="C94" t="s">
        <v>14</v>
      </c>
      <c r="D94"/>
      <c r="F94">
        <f t="shared" si="2"/>
        <v>0</v>
      </c>
      <c r="G94">
        <f t="shared" si="3"/>
        <v>0</v>
      </c>
    </row>
    <row r="95" spans="1:7" ht="48" x14ac:dyDescent="0.2">
      <c r="A95" s="3" t="s">
        <v>883</v>
      </c>
      <c r="B95" s="3" t="s">
        <v>1014</v>
      </c>
      <c r="C95" t="s">
        <v>921</v>
      </c>
      <c r="D95" t="s">
        <v>538</v>
      </c>
      <c r="F95">
        <f t="shared" si="2"/>
        <v>1</v>
      </c>
      <c r="G95">
        <f t="shared" si="3"/>
        <v>0</v>
      </c>
    </row>
    <row r="96" spans="1:7" ht="80" x14ac:dyDescent="0.2">
      <c r="A96" s="3" t="s">
        <v>884</v>
      </c>
      <c r="B96" s="3" t="s">
        <v>1017</v>
      </c>
      <c r="C96" t="s">
        <v>225</v>
      </c>
      <c r="D96"/>
      <c r="F96">
        <f t="shared" si="2"/>
        <v>0</v>
      </c>
      <c r="G96">
        <f t="shared" si="3"/>
        <v>0</v>
      </c>
    </row>
    <row r="97" spans="1:7" ht="64" x14ac:dyDescent="0.2">
      <c r="A97" s="3" t="s">
        <v>885</v>
      </c>
      <c r="B97" s="3" t="s">
        <v>1018</v>
      </c>
      <c r="C97" t="s">
        <v>221</v>
      </c>
      <c r="D97"/>
      <c r="F97">
        <f t="shared" si="2"/>
        <v>0</v>
      </c>
      <c r="G97">
        <f t="shared" si="3"/>
        <v>0</v>
      </c>
    </row>
    <row r="98" spans="1:7" ht="48" x14ac:dyDescent="0.2">
      <c r="A98" s="3" t="s">
        <v>886</v>
      </c>
      <c r="B98" s="3" t="s">
        <v>1016</v>
      </c>
      <c r="C98" t="s">
        <v>13</v>
      </c>
      <c r="D98"/>
      <c r="F98">
        <f t="shared" si="2"/>
        <v>0</v>
      </c>
      <c r="G98">
        <f t="shared" si="3"/>
        <v>0</v>
      </c>
    </row>
    <row r="99" spans="1:7" ht="64" x14ac:dyDescent="0.2">
      <c r="A99" s="3" t="s">
        <v>887</v>
      </c>
      <c r="B99" s="3" t="s">
        <v>1015</v>
      </c>
      <c r="C99" t="s">
        <v>922</v>
      </c>
      <c r="D99"/>
      <c r="F99">
        <f t="shared" si="2"/>
        <v>0</v>
      </c>
      <c r="G99">
        <f t="shared" si="3"/>
        <v>0</v>
      </c>
    </row>
    <row r="100" spans="1:7" ht="80" x14ac:dyDescent="0.2">
      <c r="A100" s="3" t="s">
        <v>888</v>
      </c>
      <c r="B100" s="3" t="s">
        <v>988</v>
      </c>
      <c r="C100" t="s">
        <v>2</v>
      </c>
      <c r="D100"/>
      <c r="F100">
        <f t="shared" si="2"/>
        <v>0</v>
      </c>
      <c r="G100">
        <f t="shared" si="3"/>
        <v>0</v>
      </c>
    </row>
    <row r="101" spans="1:7" ht="64" x14ac:dyDescent="0.2">
      <c r="A101" s="3" t="s">
        <v>923</v>
      </c>
      <c r="B101" s="3" t="s">
        <v>1019</v>
      </c>
      <c r="C101" t="s">
        <v>15</v>
      </c>
      <c r="D101"/>
      <c r="F101">
        <f t="shared" si="2"/>
        <v>0</v>
      </c>
      <c r="G101">
        <f t="shared" si="3"/>
        <v>0</v>
      </c>
    </row>
    <row r="102" spans="1:7" x14ac:dyDescent="0.2">
      <c r="B102" s="3"/>
    </row>
    <row r="103" spans="1:7" x14ac:dyDescent="0.2">
      <c r="B103" s="3"/>
      <c r="F103" s="10">
        <f>SUM(F2:F101)</f>
        <v>9</v>
      </c>
      <c r="G103" s="10">
        <f>SUM(G2:G101)</f>
        <v>8</v>
      </c>
    </row>
    <row r="104" spans="1:7" x14ac:dyDescent="0.2">
      <c r="B104" s="3"/>
    </row>
    <row r="105" spans="1:7" x14ac:dyDescent="0.2">
      <c r="B105" s="3"/>
    </row>
    <row r="106" spans="1:7" x14ac:dyDescent="0.2">
      <c r="B106" s="3"/>
    </row>
    <row r="107" spans="1:7" x14ac:dyDescent="0.2">
      <c r="B107" s="3"/>
    </row>
    <row r="108" spans="1:7" x14ac:dyDescent="0.2">
      <c r="B108" s="3"/>
    </row>
    <row r="109" spans="1:7" x14ac:dyDescent="0.2">
      <c r="B10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BAC96-E462-2A49-AE08-517009787FAF}">
  <dimension ref="A1:G103"/>
  <sheetViews>
    <sheetView topLeftCell="A96" zoomScale="160" zoomScaleNormal="160" workbookViewId="0">
      <selection activeCell="A96" sqref="A1:XFD1048576"/>
    </sheetView>
  </sheetViews>
  <sheetFormatPr baseColWidth="10" defaultRowHeight="15" x14ac:dyDescent="0.2"/>
  <cols>
    <col min="1" max="1" width="38.83203125" style="3" customWidth="1"/>
    <col min="2" max="2" width="56.1640625" style="7" customWidth="1"/>
    <col min="3" max="3" width="8.83203125"/>
    <col min="4" max="4" width="15.1640625" style="9" customWidth="1"/>
    <col min="5" max="5" width="13.33203125" customWidth="1"/>
  </cols>
  <sheetData>
    <row r="1" spans="1:7" ht="16" x14ac:dyDescent="0.2">
      <c r="A1" s="2" t="s">
        <v>0</v>
      </c>
      <c r="B1" s="6"/>
      <c r="C1" s="1" t="s">
        <v>1</v>
      </c>
      <c r="D1" s="8" t="s">
        <v>44</v>
      </c>
      <c r="E1" s="1" t="s">
        <v>45</v>
      </c>
      <c r="F1" s="1" t="s">
        <v>44</v>
      </c>
      <c r="G1" s="1" t="s">
        <v>45</v>
      </c>
    </row>
    <row r="2" spans="1:7" ht="48" x14ac:dyDescent="0.2">
      <c r="A2" s="3" t="s">
        <v>1028</v>
      </c>
      <c r="B2" s="3" t="s">
        <v>1166</v>
      </c>
      <c r="C2" t="s">
        <v>203</v>
      </c>
      <c r="D2"/>
      <c r="F2">
        <f>IF(D2="",0,1)</f>
        <v>0</v>
      </c>
      <c r="G2">
        <f>IF(E2="",0,1)</f>
        <v>0</v>
      </c>
    </row>
    <row r="3" spans="1:7" ht="64" x14ac:dyDescent="0.2">
      <c r="A3" s="3" t="s">
        <v>1029</v>
      </c>
      <c r="B3" s="3" t="s">
        <v>1167</v>
      </c>
      <c r="C3" t="s">
        <v>1128</v>
      </c>
      <c r="D3"/>
      <c r="F3">
        <f t="shared" ref="F3:G66" si="0">IF(D3="",0,1)</f>
        <v>0</v>
      </c>
      <c r="G3">
        <f t="shared" si="0"/>
        <v>0</v>
      </c>
    </row>
    <row r="4" spans="1:7" ht="64" x14ac:dyDescent="0.2">
      <c r="A4" s="3" t="s">
        <v>1030</v>
      </c>
      <c r="B4" s="3" t="s">
        <v>1168</v>
      </c>
      <c r="C4" t="s">
        <v>42</v>
      </c>
      <c r="D4"/>
      <c r="F4">
        <f t="shared" si="0"/>
        <v>0</v>
      </c>
      <c r="G4">
        <f t="shared" si="0"/>
        <v>0</v>
      </c>
    </row>
    <row r="5" spans="1:7" ht="64" x14ac:dyDescent="0.2">
      <c r="A5" s="3" t="s">
        <v>1031</v>
      </c>
      <c r="B5" s="3" t="s">
        <v>1169</v>
      </c>
      <c r="C5" t="s">
        <v>30</v>
      </c>
      <c r="D5"/>
      <c r="F5">
        <f t="shared" si="0"/>
        <v>0</v>
      </c>
      <c r="G5">
        <f t="shared" si="0"/>
        <v>0</v>
      </c>
    </row>
    <row r="6" spans="1:7" ht="64" x14ac:dyDescent="0.2">
      <c r="A6" s="3" t="s">
        <v>1032</v>
      </c>
      <c r="B6" s="3" t="s">
        <v>1170</v>
      </c>
      <c r="C6" t="s">
        <v>132</v>
      </c>
      <c r="D6"/>
      <c r="F6">
        <f t="shared" si="0"/>
        <v>0</v>
      </c>
      <c r="G6">
        <f t="shared" si="0"/>
        <v>0</v>
      </c>
    </row>
    <row r="7" spans="1:7" ht="64" x14ac:dyDescent="0.2">
      <c r="A7" s="3" t="s">
        <v>1033</v>
      </c>
      <c r="B7" s="3" t="s">
        <v>1171</v>
      </c>
      <c r="C7" t="s">
        <v>267</v>
      </c>
      <c r="D7"/>
      <c r="F7">
        <f t="shared" si="0"/>
        <v>0</v>
      </c>
      <c r="G7">
        <f t="shared" si="0"/>
        <v>0</v>
      </c>
    </row>
    <row r="8" spans="1:7" ht="64" x14ac:dyDescent="0.2">
      <c r="A8" s="3" t="s">
        <v>1034</v>
      </c>
      <c r="B8" s="3" t="s">
        <v>1172</v>
      </c>
      <c r="C8" t="s">
        <v>137</v>
      </c>
      <c r="D8"/>
      <c r="F8">
        <f t="shared" si="0"/>
        <v>0</v>
      </c>
      <c r="G8">
        <f t="shared" si="0"/>
        <v>0</v>
      </c>
    </row>
    <row r="9" spans="1:7" ht="64" x14ac:dyDescent="0.2">
      <c r="A9" s="3" t="s">
        <v>1035</v>
      </c>
      <c r="B9" s="3" t="s">
        <v>1173</v>
      </c>
      <c r="C9" t="s">
        <v>42</v>
      </c>
      <c r="D9"/>
      <c r="F9">
        <f t="shared" si="0"/>
        <v>0</v>
      </c>
      <c r="G9">
        <f t="shared" si="0"/>
        <v>0</v>
      </c>
    </row>
    <row r="10" spans="1:7" ht="80" x14ac:dyDescent="0.2">
      <c r="A10" s="3" t="s">
        <v>1036</v>
      </c>
      <c r="B10" s="3" t="s">
        <v>1174</v>
      </c>
      <c r="C10" t="s">
        <v>15</v>
      </c>
      <c r="D10"/>
      <c r="F10">
        <f t="shared" si="0"/>
        <v>0</v>
      </c>
      <c r="G10">
        <f t="shared" si="0"/>
        <v>0</v>
      </c>
    </row>
    <row r="11" spans="1:7" ht="64" x14ac:dyDescent="0.2">
      <c r="A11" s="3" t="s">
        <v>1037</v>
      </c>
      <c r="B11" s="3" t="s">
        <v>1175</v>
      </c>
      <c r="C11" t="s">
        <v>5</v>
      </c>
      <c r="D11"/>
      <c r="F11">
        <f t="shared" si="0"/>
        <v>0</v>
      </c>
      <c r="G11">
        <f t="shared" si="0"/>
        <v>0</v>
      </c>
    </row>
    <row r="12" spans="1:7" ht="64" x14ac:dyDescent="0.2">
      <c r="A12" s="3" t="s">
        <v>1038</v>
      </c>
      <c r="B12" s="3" t="s">
        <v>1176</v>
      </c>
      <c r="C12" t="s">
        <v>135</v>
      </c>
      <c r="D12"/>
      <c r="F12">
        <f t="shared" si="0"/>
        <v>0</v>
      </c>
      <c r="G12">
        <f t="shared" si="0"/>
        <v>0</v>
      </c>
    </row>
    <row r="13" spans="1:7" ht="64" x14ac:dyDescent="0.2">
      <c r="A13" s="3" t="s">
        <v>1039</v>
      </c>
      <c r="B13" s="3" t="s">
        <v>1177</v>
      </c>
      <c r="C13" t="s">
        <v>1129</v>
      </c>
      <c r="D13"/>
      <c r="F13">
        <f t="shared" si="0"/>
        <v>0</v>
      </c>
      <c r="G13">
        <f t="shared" si="0"/>
        <v>0</v>
      </c>
    </row>
    <row r="14" spans="1:7" ht="64" x14ac:dyDescent="0.2">
      <c r="A14" s="3" t="s">
        <v>1040</v>
      </c>
      <c r="B14" s="3" t="s">
        <v>1178</v>
      </c>
      <c r="C14" t="s">
        <v>70</v>
      </c>
      <c r="D14"/>
      <c r="F14">
        <f t="shared" si="0"/>
        <v>0</v>
      </c>
      <c r="G14">
        <f t="shared" si="0"/>
        <v>0</v>
      </c>
    </row>
    <row r="15" spans="1:7" ht="48" x14ac:dyDescent="0.2">
      <c r="A15" s="3" t="s">
        <v>1041</v>
      </c>
      <c r="B15" s="3" t="s">
        <v>1179</v>
      </c>
      <c r="C15" t="s">
        <v>10</v>
      </c>
      <c r="D15"/>
      <c r="F15">
        <f t="shared" si="0"/>
        <v>0</v>
      </c>
      <c r="G15">
        <f t="shared" si="0"/>
        <v>0</v>
      </c>
    </row>
    <row r="16" spans="1:7" ht="48" x14ac:dyDescent="0.2">
      <c r="A16" s="3" t="s">
        <v>1042</v>
      </c>
      <c r="B16" s="3" t="s">
        <v>1180</v>
      </c>
      <c r="C16" t="s">
        <v>2</v>
      </c>
      <c r="D16"/>
      <c r="F16">
        <f t="shared" si="0"/>
        <v>0</v>
      </c>
      <c r="G16">
        <f t="shared" si="0"/>
        <v>0</v>
      </c>
    </row>
    <row r="17" spans="1:7" ht="64" x14ac:dyDescent="0.2">
      <c r="A17" s="3" t="s">
        <v>1043</v>
      </c>
      <c r="B17" s="3" t="s">
        <v>1181</v>
      </c>
      <c r="C17" t="s">
        <v>1130</v>
      </c>
      <c r="D17"/>
      <c r="F17">
        <f t="shared" si="0"/>
        <v>0</v>
      </c>
      <c r="G17">
        <f t="shared" si="0"/>
        <v>0</v>
      </c>
    </row>
    <row r="18" spans="1:7" ht="64" x14ac:dyDescent="0.2">
      <c r="A18" s="3" t="s">
        <v>1044</v>
      </c>
      <c r="B18" s="3" t="s">
        <v>1182</v>
      </c>
      <c r="C18" t="s">
        <v>77</v>
      </c>
      <c r="D18"/>
      <c r="F18">
        <f t="shared" si="0"/>
        <v>0</v>
      </c>
      <c r="G18">
        <f t="shared" si="0"/>
        <v>0</v>
      </c>
    </row>
    <row r="19" spans="1:7" ht="48" x14ac:dyDescent="0.2">
      <c r="A19" s="3" t="s">
        <v>1045</v>
      </c>
      <c r="B19" s="3" t="s">
        <v>1183</v>
      </c>
      <c r="C19" t="s">
        <v>156</v>
      </c>
      <c r="D19"/>
      <c r="F19">
        <f t="shared" si="0"/>
        <v>0</v>
      </c>
      <c r="G19">
        <f t="shared" si="0"/>
        <v>0</v>
      </c>
    </row>
    <row r="20" spans="1:7" ht="64" x14ac:dyDescent="0.2">
      <c r="A20" s="3" t="s">
        <v>1046</v>
      </c>
      <c r="B20" s="3" t="s">
        <v>1184</v>
      </c>
      <c r="C20" t="s">
        <v>1131</v>
      </c>
      <c r="D20"/>
      <c r="F20">
        <f t="shared" si="0"/>
        <v>0</v>
      </c>
      <c r="G20">
        <f t="shared" si="0"/>
        <v>0</v>
      </c>
    </row>
    <row r="21" spans="1:7" ht="64" x14ac:dyDescent="0.2">
      <c r="A21" s="3" t="s">
        <v>1047</v>
      </c>
      <c r="B21" s="3" t="s">
        <v>1185</v>
      </c>
      <c r="C21" t="s">
        <v>254</v>
      </c>
      <c r="D21"/>
      <c r="F21">
        <f t="shared" si="0"/>
        <v>0</v>
      </c>
      <c r="G21">
        <f t="shared" si="0"/>
        <v>0</v>
      </c>
    </row>
    <row r="22" spans="1:7" ht="48" x14ac:dyDescent="0.2">
      <c r="A22" s="3" t="s">
        <v>1048</v>
      </c>
      <c r="B22" s="3" t="s">
        <v>1186</v>
      </c>
      <c r="C22" t="s">
        <v>2</v>
      </c>
      <c r="D22"/>
      <c r="F22">
        <f t="shared" si="0"/>
        <v>0</v>
      </c>
      <c r="G22">
        <f t="shared" si="0"/>
        <v>0</v>
      </c>
    </row>
    <row r="23" spans="1:7" ht="48" x14ac:dyDescent="0.2">
      <c r="A23" s="3" t="s">
        <v>1049</v>
      </c>
      <c r="B23" s="3" t="s">
        <v>1187</v>
      </c>
      <c r="C23" t="s">
        <v>1132</v>
      </c>
      <c r="D23"/>
      <c r="F23">
        <f t="shared" si="0"/>
        <v>0</v>
      </c>
      <c r="G23">
        <f t="shared" si="0"/>
        <v>0</v>
      </c>
    </row>
    <row r="24" spans="1:7" ht="64" x14ac:dyDescent="0.2">
      <c r="A24" s="3" t="s">
        <v>1050</v>
      </c>
      <c r="B24" s="3" t="s">
        <v>1188</v>
      </c>
      <c r="C24" t="s">
        <v>163</v>
      </c>
      <c r="D24"/>
      <c r="F24">
        <f t="shared" si="0"/>
        <v>0</v>
      </c>
      <c r="G24">
        <f t="shared" si="0"/>
        <v>0</v>
      </c>
    </row>
    <row r="25" spans="1:7" ht="48" x14ac:dyDescent="0.2">
      <c r="A25" s="3" t="s">
        <v>1051</v>
      </c>
      <c r="B25" s="3" t="s">
        <v>1189</v>
      </c>
      <c r="C25" t="s">
        <v>4</v>
      </c>
      <c r="D25"/>
      <c r="F25">
        <f t="shared" si="0"/>
        <v>0</v>
      </c>
      <c r="G25">
        <f t="shared" si="0"/>
        <v>0</v>
      </c>
    </row>
    <row r="26" spans="1:7" ht="64" x14ac:dyDescent="0.2">
      <c r="A26" s="3" t="s">
        <v>1052</v>
      </c>
      <c r="B26" s="3" t="s">
        <v>1190</v>
      </c>
      <c r="C26" t="s">
        <v>1133</v>
      </c>
      <c r="D26" t="s">
        <v>281</v>
      </c>
      <c r="F26">
        <f t="shared" si="0"/>
        <v>1</v>
      </c>
      <c r="G26">
        <f t="shared" si="0"/>
        <v>0</v>
      </c>
    </row>
    <row r="27" spans="1:7" ht="64" x14ac:dyDescent="0.2">
      <c r="A27" s="3" t="s">
        <v>1053</v>
      </c>
      <c r="B27" s="3" t="s">
        <v>1191</v>
      </c>
      <c r="C27" t="s">
        <v>27</v>
      </c>
      <c r="D27"/>
      <c r="F27">
        <f t="shared" si="0"/>
        <v>0</v>
      </c>
      <c r="G27">
        <f t="shared" si="0"/>
        <v>0</v>
      </c>
    </row>
    <row r="28" spans="1:7" ht="48" x14ac:dyDescent="0.2">
      <c r="A28" s="3" t="s">
        <v>1054</v>
      </c>
      <c r="B28" s="3" t="s">
        <v>1192</v>
      </c>
      <c r="C28" t="s">
        <v>1134</v>
      </c>
      <c r="D28"/>
      <c r="F28">
        <f t="shared" si="0"/>
        <v>0</v>
      </c>
      <c r="G28">
        <f t="shared" si="0"/>
        <v>0</v>
      </c>
    </row>
    <row r="29" spans="1:7" ht="48" x14ac:dyDescent="0.2">
      <c r="A29" s="3" t="s">
        <v>1055</v>
      </c>
      <c r="B29" s="3" t="s">
        <v>1193</v>
      </c>
      <c r="C29" t="s">
        <v>1135</v>
      </c>
      <c r="D29"/>
      <c r="F29">
        <f t="shared" si="0"/>
        <v>0</v>
      </c>
      <c r="G29">
        <f t="shared" si="0"/>
        <v>0</v>
      </c>
    </row>
    <row r="30" spans="1:7" ht="64" x14ac:dyDescent="0.2">
      <c r="A30" s="3" t="s">
        <v>1056</v>
      </c>
      <c r="B30" s="3" t="s">
        <v>1194</v>
      </c>
      <c r="C30" t="s">
        <v>404</v>
      </c>
      <c r="D30"/>
      <c r="F30">
        <f t="shared" si="0"/>
        <v>0</v>
      </c>
      <c r="G30">
        <f t="shared" si="0"/>
        <v>0</v>
      </c>
    </row>
    <row r="31" spans="1:7" ht="64" x14ac:dyDescent="0.2">
      <c r="A31" s="3" t="s">
        <v>1057</v>
      </c>
      <c r="B31" s="3" t="s">
        <v>1195</v>
      </c>
      <c r="C31" t="s">
        <v>1136</v>
      </c>
      <c r="D31"/>
      <c r="F31">
        <f t="shared" si="0"/>
        <v>0</v>
      </c>
      <c r="G31">
        <f t="shared" si="0"/>
        <v>0</v>
      </c>
    </row>
    <row r="32" spans="1:7" ht="48" x14ac:dyDescent="0.2">
      <c r="A32" s="3" t="s">
        <v>1058</v>
      </c>
      <c r="B32" s="3" t="s">
        <v>1196</v>
      </c>
      <c r="C32" t="s">
        <v>67</v>
      </c>
      <c r="D32"/>
      <c r="F32">
        <f t="shared" si="0"/>
        <v>0</v>
      </c>
      <c r="G32">
        <f t="shared" si="0"/>
        <v>0</v>
      </c>
    </row>
    <row r="33" spans="1:7" ht="64" x14ac:dyDescent="0.2">
      <c r="A33" s="3" t="s">
        <v>1059</v>
      </c>
      <c r="B33" s="3" t="s">
        <v>1197</v>
      </c>
      <c r="C33" t="s">
        <v>68</v>
      </c>
      <c r="D33"/>
      <c r="F33">
        <f t="shared" si="0"/>
        <v>0</v>
      </c>
      <c r="G33">
        <f t="shared" si="0"/>
        <v>0</v>
      </c>
    </row>
    <row r="34" spans="1:7" ht="64" x14ac:dyDescent="0.2">
      <c r="A34" s="3" t="s">
        <v>1060</v>
      </c>
      <c r="B34" s="3" t="s">
        <v>1198</v>
      </c>
      <c r="C34" t="s">
        <v>204</v>
      </c>
      <c r="D34"/>
      <c r="E34" t="s">
        <v>49</v>
      </c>
      <c r="F34">
        <f t="shared" si="0"/>
        <v>0</v>
      </c>
      <c r="G34">
        <f t="shared" si="0"/>
        <v>1</v>
      </c>
    </row>
    <row r="35" spans="1:7" ht="64" x14ac:dyDescent="0.2">
      <c r="A35" s="3" t="s">
        <v>1061</v>
      </c>
      <c r="B35" s="3" t="s">
        <v>1199</v>
      </c>
      <c r="C35" t="s">
        <v>4</v>
      </c>
      <c r="D35"/>
      <c r="F35">
        <f t="shared" si="0"/>
        <v>0</v>
      </c>
      <c r="G35">
        <f t="shared" si="0"/>
        <v>0</v>
      </c>
    </row>
    <row r="36" spans="1:7" ht="64" x14ac:dyDescent="0.2">
      <c r="A36" s="3" t="s">
        <v>1062</v>
      </c>
      <c r="B36" s="3" t="s">
        <v>1200</v>
      </c>
      <c r="C36" t="s">
        <v>1137</v>
      </c>
      <c r="D36"/>
      <c r="E36" t="s">
        <v>47</v>
      </c>
      <c r="F36">
        <f t="shared" si="0"/>
        <v>0</v>
      </c>
      <c r="G36">
        <f t="shared" si="0"/>
        <v>1</v>
      </c>
    </row>
    <row r="37" spans="1:7" ht="80" x14ac:dyDescent="0.2">
      <c r="A37" s="3" t="s">
        <v>1063</v>
      </c>
      <c r="B37" s="3" t="s">
        <v>1201</v>
      </c>
      <c r="C37" t="s">
        <v>1138</v>
      </c>
      <c r="D37"/>
      <c r="F37">
        <f t="shared" si="0"/>
        <v>0</v>
      </c>
      <c r="G37">
        <f t="shared" si="0"/>
        <v>0</v>
      </c>
    </row>
    <row r="38" spans="1:7" ht="64" x14ac:dyDescent="0.2">
      <c r="A38" s="3" t="s">
        <v>1064</v>
      </c>
      <c r="B38" s="3" t="s">
        <v>1202</v>
      </c>
      <c r="C38" t="s">
        <v>1139</v>
      </c>
      <c r="D38"/>
      <c r="F38">
        <f t="shared" si="0"/>
        <v>0</v>
      </c>
      <c r="G38">
        <f t="shared" si="0"/>
        <v>0</v>
      </c>
    </row>
    <row r="39" spans="1:7" ht="48" x14ac:dyDescent="0.2">
      <c r="A39" s="3" t="s">
        <v>1065</v>
      </c>
      <c r="B39" s="3" t="s">
        <v>1203</v>
      </c>
      <c r="C39" t="s">
        <v>285</v>
      </c>
      <c r="D39"/>
      <c r="F39">
        <f t="shared" si="0"/>
        <v>0</v>
      </c>
      <c r="G39">
        <f t="shared" si="0"/>
        <v>0</v>
      </c>
    </row>
    <row r="40" spans="1:7" ht="48" x14ac:dyDescent="0.2">
      <c r="A40" s="3" t="s">
        <v>1066</v>
      </c>
      <c r="B40" s="3" t="s">
        <v>1204</v>
      </c>
      <c r="C40" t="s">
        <v>649</v>
      </c>
      <c r="D40"/>
      <c r="F40">
        <f t="shared" si="0"/>
        <v>0</v>
      </c>
      <c r="G40">
        <f t="shared" si="0"/>
        <v>0</v>
      </c>
    </row>
    <row r="41" spans="1:7" ht="64" x14ac:dyDescent="0.2">
      <c r="A41" s="3" t="s">
        <v>1067</v>
      </c>
      <c r="B41" s="3" t="s">
        <v>1205</v>
      </c>
      <c r="C41" t="s">
        <v>42</v>
      </c>
      <c r="D41"/>
      <c r="F41">
        <f t="shared" si="0"/>
        <v>0</v>
      </c>
      <c r="G41">
        <f t="shared" si="0"/>
        <v>0</v>
      </c>
    </row>
    <row r="42" spans="1:7" ht="48" x14ac:dyDescent="0.2">
      <c r="A42" s="3" t="s">
        <v>1068</v>
      </c>
      <c r="B42" s="3" t="s">
        <v>1206</v>
      </c>
      <c r="C42" t="s">
        <v>210</v>
      </c>
      <c r="D42"/>
      <c r="F42">
        <f t="shared" si="0"/>
        <v>0</v>
      </c>
      <c r="G42">
        <f t="shared" si="0"/>
        <v>0</v>
      </c>
    </row>
    <row r="43" spans="1:7" ht="64" x14ac:dyDescent="0.2">
      <c r="A43" s="3" t="s">
        <v>1069</v>
      </c>
      <c r="B43" s="3" t="s">
        <v>1207</v>
      </c>
      <c r="C43" t="s">
        <v>133</v>
      </c>
      <c r="D43"/>
      <c r="F43">
        <f t="shared" si="0"/>
        <v>0</v>
      </c>
      <c r="G43">
        <f t="shared" si="0"/>
        <v>0</v>
      </c>
    </row>
    <row r="44" spans="1:7" ht="64" x14ac:dyDescent="0.2">
      <c r="A44" s="3" t="s">
        <v>1070</v>
      </c>
      <c r="B44" s="3" t="s">
        <v>1208</v>
      </c>
      <c r="C44" t="s">
        <v>84</v>
      </c>
      <c r="D44"/>
      <c r="F44">
        <f t="shared" si="0"/>
        <v>0</v>
      </c>
      <c r="G44">
        <f t="shared" si="0"/>
        <v>0</v>
      </c>
    </row>
    <row r="45" spans="1:7" ht="64" x14ac:dyDescent="0.2">
      <c r="A45" s="3" t="s">
        <v>1071</v>
      </c>
      <c r="B45" s="3" t="s">
        <v>1209</v>
      </c>
      <c r="C45" t="s">
        <v>1140</v>
      </c>
      <c r="D45"/>
      <c r="F45">
        <f t="shared" si="0"/>
        <v>0</v>
      </c>
      <c r="G45">
        <f t="shared" si="0"/>
        <v>0</v>
      </c>
    </row>
    <row r="46" spans="1:7" ht="64" x14ac:dyDescent="0.2">
      <c r="A46" s="3" t="s">
        <v>1072</v>
      </c>
      <c r="B46" s="3" t="s">
        <v>1210</v>
      </c>
      <c r="C46" t="s">
        <v>72</v>
      </c>
      <c r="D46"/>
      <c r="F46">
        <f t="shared" si="0"/>
        <v>0</v>
      </c>
      <c r="G46">
        <f t="shared" si="0"/>
        <v>0</v>
      </c>
    </row>
    <row r="47" spans="1:7" ht="64" x14ac:dyDescent="0.2">
      <c r="A47" s="3" t="s">
        <v>1073</v>
      </c>
      <c r="B47" s="3" t="s">
        <v>1211</v>
      </c>
      <c r="C47" t="s">
        <v>20</v>
      </c>
      <c r="D47"/>
      <c r="F47">
        <f t="shared" si="0"/>
        <v>0</v>
      </c>
      <c r="G47">
        <f t="shared" si="0"/>
        <v>0</v>
      </c>
    </row>
    <row r="48" spans="1:7" ht="64" x14ac:dyDescent="0.2">
      <c r="A48" s="3" t="s">
        <v>1074</v>
      </c>
      <c r="B48" s="3" t="s">
        <v>1212</v>
      </c>
      <c r="C48" t="s">
        <v>1141</v>
      </c>
      <c r="D48"/>
      <c r="F48">
        <f t="shared" si="0"/>
        <v>0</v>
      </c>
      <c r="G48">
        <f t="shared" si="0"/>
        <v>0</v>
      </c>
    </row>
    <row r="49" spans="1:7" ht="64" x14ac:dyDescent="0.2">
      <c r="A49" s="3" t="s">
        <v>1075</v>
      </c>
      <c r="B49" s="3" t="s">
        <v>1213</v>
      </c>
      <c r="C49" t="s">
        <v>901</v>
      </c>
      <c r="D49"/>
      <c r="F49">
        <f t="shared" si="0"/>
        <v>0</v>
      </c>
      <c r="G49">
        <f t="shared" si="0"/>
        <v>0</v>
      </c>
    </row>
    <row r="50" spans="1:7" ht="64" x14ac:dyDescent="0.2">
      <c r="A50" s="3" t="s">
        <v>1076</v>
      </c>
      <c r="B50" s="3" t="s">
        <v>1214</v>
      </c>
      <c r="C50" t="s">
        <v>1142</v>
      </c>
      <c r="D50"/>
      <c r="F50">
        <f t="shared" si="0"/>
        <v>0</v>
      </c>
      <c r="G50">
        <f t="shared" si="0"/>
        <v>0</v>
      </c>
    </row>
    <row r="51" spans="1:7" ht="64" x14ac:dyDescent="0.2">
      <c r="A51" s="3" t="s">
        <v>1077</v>
      </c>
      <c r="B51" s="3" t="s">
        <v>1215</v>
      </c>
      <c r="C51" t="s">
        <v>145</v>
      </c>
      <c r="D51"/>
      <c r="F51">
        <f t="shared" si="0"/>
        <v>0</v>
      </c>
      <c r="G51">
        <f t="shared" si="0"/>
        <v>0</v>
      </c>
    </row>
    <row r="52" spans="1:7" ht="48" x14ac:dyDescent="0.2">
      <c r="A52" s="3" t="s">
        <v>1078</v>
      </c>
      <c r="B52" s="3" t="s">
        <v>1216</v>
      </c>
      <c r="C52" t="s">
        <v>1143</v>
      </c>
      <c r="D52" t="s">
        <v>85</v>
      </c>
      <c r="F52">
        <f t="shared" si="0"/>
        <v>1</v>
      </c>
      <c r="G52">
        <f t="shared" si="0"/>
        <v>0</v>
      </c>
    </row>
    <row r="53" spans="1:7" ht="64" x14ac:dyDescent="0.2">
      <c r="A53" s="3" t="s">
        <v>1079</v>
      </c>
      <c r="B53" s="3" t="s">
        <v>1217</v>
      </c>
      <c r="C53" t="s">
        <v>1144</v>
      </c>
      <c r="D53"/>
      <c r="F53">
        <f t="shared" si="0"/>
        <v>0</v>
      </c>
      <c r="G53">
        <f t="shared" si="0"/>
        <v>0</v>
      </c>
    </row>
    <row r="54" spans="1:7" ht="48" x14ac:dyDescent="0.2">
      <c r="A54" s="3" t="s">
        <v>1080</v>
      </c>
      <c r="B54" s="3" t="s">
        <v>1218</v>
      </c>
      <c r="C54" t="s">
        <v>42</v>
      </c>
      <c r="D54"/>
      <c r="F54">
        <f t="shared" si="0"/>
        <v>0</v>
      </c>
      <c r="G54">
        <f t="shared" si="0"/>
        <v>0</v>
      </c>
    </row>
    <row r="55" spans="1:7" ht="48" x14ac:dyDescent="0.2">
      <c r="A55" s="3" t="s">
        <v>1081</v>
      </c>
      <c r="B55" s="3" t="s">
        <v>1219</v>
      </c>
      <c r="C55" t="s">
        <v>1145</v>
      </c>
      <c r="D55"/>
      <c r="F55">
        <f t="shared" si="0"/>
        <v>0</v>
      </c>
      <c r="G55">
        <f t="shared" si="0"/>
        <v>0</v>
      </c>
    </row>
    <row r="56" spans="1:7" ht="48" x14ac:dyDescent="0.2">
      <c r="A56" s="3" t="s">
        <v>1082</v>
      </c>
      <c r="B56" s="3" t="s">
        <v>1220</v>
      </c>
      <c r="C56" t="s">
        <v>1146</v>
      </c>
      <c r="D56"/>
      <c r="F56">
        <f t="shared" si="0"/>
        <v>0</v>
      </c>
      <c r="G56">
        <f t="shared" si="0"/>
        <v>0</v>
      </c>
    </row>
    <row r="57" spans="1:7" ht="64" x14ac:dyDescent="0.2">
      <c r="A57" s="3" t="s">
        <v>1083</v>
      </c>
      <c r="B57" s="3" t="s">
        <v>1221</v>
      </c>
      <c r="C57" t="s">
        <v>1147</v>
      </c>
      <c r="D57"/>
      <c r="F57">
        <f t="shared" si="0"/>
        <v>0</v>
      </c>
      <c r="G57">
        <f t="shared" si="0"/>
        <v>0</v>
      </c>
    </row>
    <row r="58" spans="1:7" ht="64" x14ac:dyDescent="0.2">
      <c r="A58" s="3" t="s">
        <v>1084</v>
      </c>
      <c r="B58" s="3" t="s">
        <v>1222</v>
      </c>
      <c r="C58" t="s">
        <v>1148</v>
      </c>
      <c r="D58" t="s">
        <v>169</v>
      </c>
      <c r="F58">
        <f t="shared" si="0"/>
        <v>1</v>
      </c>
      <c r="G58">
        <f t="shared" si="0"/>
        <v>0</v>
      </c>
    </row>
    <row r="59" spans="1:7" ht="48" x14ac:dyDescent="0.2">
      <c r="A59" s="3" t="s">
        <v>1085</v>
      </c>
      <c r="B59" s="3" t="s">
        <v>1263</v>
      </c>
      <c r="C59" t="s">
        <v>132</v>
      </c>
      <c r="D59"/>
      <c r="F59">
        <f t="shared" si="0"/>
        <v>0</v>
      </c>
      <c r="G59">
        <f t="shared" si="0"/>
        <v>0</v>
      </c>
    </row>
    <row r="60" spans="1:7" ht="48" x14ac:dyDescent="0.2">
      <c r="A60" s="3" t="s">
        <v>1086</v>
      </c>
      <c r="B60" s="3" t="s">
        <v>1223</v>
      </c>
      <c r="C60" t="s">
        <v>33</v>
      </c>
      <c r="D60"/>
      <c r="F60">
        <f t="shared" si="0"/>
        <v>0</v>
      </c>
      <c r="G60">
        <f t="shared" si="0"/>
        <v>0</v>
      </c>
    </row>
    <row r="61" spans="1:7" ht="48" x14ac:dyDescent="0.2">
      <c r="A61" s="3" t="s">
        <v>1087</v>
      </c>
      <c r="B61" s="3" t="s">
        <v>1224</v>
      </c>
      <c r="C61" t="s">
        <v>31</v>
      </c>
      <c r="D61"/>
      <c r="E61" t="s">
        <v>46</v>
      </c>
      <c r="F61">
        <f t="shared" si="0"/>
        <v>0</v>
      </c>
      <c r="G61">
        <f t="shared" si="0"/>
        <v>1</v>
      </c>
    </row>
    <row r="62" spans="1:7" ht="64" x14ac:dyDescent="0.2">
      <c r="A62" s="3" t="s">
        <v>1088</v>
      </c>
      <c r="B62" s="3" t="s">
        <v>1225</v>
      </c>
      <c r="C62" t="s">
        <v>1149</v>
      </c>
      <c r="D62"/>
      <c r="F62">
        <f t="shared" si="0"/>
        <v>0</v>
      </c>
      <c r="G62">
        <f t="shared" si="0"/>
        <v>0</v>
      </c>
    </row>
    <row r="63" spans="1:7" ht="64" x14ac:dyDescent="0.2">
      <c r="A63" s="3" t="s">
        <v>1089</v>
      </c>
      <c r="B63" s="3" t="s">
        <v>1226</v>
      </c>
      <c r="C63" t="s">
        <v>11</v>
      </c>
      <c r="D63"/>
      <c r="F63">
        <f t="shared" si="0"/>
        <v>0</v>
      </c>
      <c r="G63">
        <f t="shared" si="0"/>
        <v>0</v>
      </c>
    </row>
    <row r="64" spans="1:7" ht="48" x14ac:dyDescent="0.2">
      <c r="A64" s="3" t="s">
        <v>1090</v>
      </c>
      <c r="B64" s="3" t="s">
        <v>1227</v>
      </c>
      <c r="C64" t="s">
        <v>1150</v>
      </c>
      <c r="D64"/>
      <c r="F64">
        <f t="shared" si="0"/>
        <v>0</v>
      </c>
      <c r="G64">
        <f t="shared" si="0"/>
        <v>0</v>
      </c>
    </row>
    <row r="65" spans="1:7" ht="48" x14ac:dyDescent="0.2">
      <c r="A65" s="3" t="s">
        <v>1091</v>
      </c>
      <c r="B65" s="3" t="s">
        <v>1228</v>
      </c>
      <c r="C65" t="s">
        <v>150</v>
      </c>
      <c r="D65"/>
      <c r="F65">
        <f t="shared" si="0"/>
        <v>0</v>
      </c>
      <c r="G65">
        <f t="shared" si="0"/>
        <v>0</v>
      </c>
    </row>
    <row r="66" spans="1:7" ht="64" x14ac:dyDescent="0.2">
      <c r="A66" s="3" t="s">
        <v>1092</v>
      </c>
      <c r="B66" s="3" t="s">
        <v>1229</v>
      </c>
      <c r="C66" t="s">
        <v>30</v>
      </c>
      <c r="D66"/>
      <c r="F66">
        <f t="shared" si="0"/>
        <v>0</v>
      </c>
      <c r="G66">
        <f t="shared" si="0"/>
        <v>0</v>
      </c>
    </row>
    <row r="67" spans="1:7" ht="64" x14ac:dyDescent="0.2">
      <c r="A67" s="3" t="s">
        <v>1093</v>
      </c>
      <c r="B67" s="3" t="s">
        <v>1230</v>
      </c>
      <c r="C67" t="s">
        <v>1151</v>
      </c>
      <c r="D67"/>
      <c r="F67">
        <f t="shared" ref="F67:G101" si="1">IF(D67="",0,1)</f>
        <v>0</v>
      </c>
      <c r="G67">
        <f t="shared" si="1"/>
        <v>0</v>
      </c>
    </row>
    <row r="68" spans="1:7" ht="48" x14ac:dyDescent="0.2">
      <c r="A68" s="3" t="s">
        <v>1094</v>
      </c>
      <c r="B68" s="3" t="s">
        <v>1231</v>
      </c>
      <c r="C68" t="s">
        <v>1152</v>
      </c>
      <c r="D68"/>
      <c r="F68">
        <f t="shared" si="1"/>
        <v>0</v>
      </c>
      <c r="G68">
        <f t="shared" si="1"/>
        <v>0</v>
      </c>
    </row>
    <row r="69" spans="1:7" ht="64" x14ac:dyDescent="0.2">
      <c r="A69" s="3" t="s">
        <v>1095</v>
      </c>
      <c r="B69" s="3" t="s">
        <v>1232</v>
      </c>
      <c r="C69" t="s">
        <v>1153</v>
      </c>
      <c r="D69"/>
      <c r="F69">
        <f t="shared" si="1"/>
        <v>0</v>
      </c>
      <c r="G69">
        <f t="shared" si="1"/>
        <v>0</v>
      </c>
    </row>
    <row r="70" spans="1:7" ht="64" x14ac:dyDescent="0.2">
      <c r="A70" s="3" t="s">
        <v>1096</v>
      </c>
      <c r="B70" s="3" t="s">
        <v>1233</v>
      </c>
      <c r="C70" t="s">
        <v>1154</v>
      </c>
      <c r="D70"/>
      <c r="F70">
        <f t="shared" si="1"/>
        <v>0</v>
      </c>
      <c r="G70">
        <f t="shared" si="1"/>
        <v>0</v>
      </c>
    </row>
    <row r="71" spans="1:7" ht="64" x14ac:dyDescent="0.2">
      <c r="A71" s="3" t="s">
        <v>1097</v>
      </c>
      <c r="B71" s="3" t="s">
        <v>1234</v>
      </c>
      <c r="C71" t="s">
        <v>5</v>
      </c>
      <c r="D71"/>
      <c r="F71">
        <f t="shared" si="1"/>
        <v>0</v>
      </c>
      <c r="G71">
        <f t="shared" si="1"/>
        <v>0</v>
      </c>
    </row>
    <row r="72" spans="1:7" ht="48" x14ac:dyDescent="0.2">
      <c r="A72" s="3" t="s">
        <v>1098</v>
      </c>
      <c r="B72" s="3" t="s">
        <v>1235</v>
      </c>
      <c r="C72" t="s">
        <v>1155</v>
      </c>
      <c r="D72"/>
      <c r="F72">
        <f t="shared" si="1"/>
        <v>0</v>
      </c>
      <c r="G72">
        <f t="shared" si="1"/>
        <v>0</v>
      </c>
    </row>
    <row r="73" spans="1:7" ht="64" x14ac:dyDescent="0.2">
      <c r="A73" s="3" t="s">
        <v>1099</v>
      </c>
      <c r="B73" s="3" t="s">
        <v>1236</v>
      </c>
      <c r="C73" t="s">
        <v>1149</v>
      </c>
      <c r="D73"/>
      <c r="F73">
        <f t="shared" si="1"/>
        <v>0</v>
      </c>
      <c r="G73">
        <f t="shared" si="1"/>
        <v>0</v>
      </c>
    </row>
    <row r="74" spans="1:7" ht="48" x14ac:dyDescent="0.2">
      <c r="A74" s="3" t="s">
        <v>1100</v>
      </c>
      <c r="B74" s="3" t="s">
        <v>1237</v>
      </c>
      <c r="C74" t="s">
        <v>272</v>
      </c>
      <c r="D74"/>
      <c r="E74" t="s">
        <v>49</v>
      </c>
      <c r="F74">
        <f t="shared" si="1"/>
        <v>0</v>
      </c>
      <c r="G74">
        <f t="shared" si="1"/>
        <v>1</v>
      </c>
    </row>
    <row r="75" spans="1:7" ht="80" x14ac:dyDescent="0.2">
      <c r="A75" s="3" t="s">
        <v>1101</v>
      </c>
      <c r="B75" s="3" t="s">
        <v>1238</v>
      </c>
      <c r="C75" t="s">
        <v>1156</v>
      </c>
      <c r="D75"/>
      <c r="F75">
        <f t="shared" si="1"/>
        <v>0</v>
      </c>
      <c r="G75">
        <f t="shared" si="1"/>
        <v>0</v>
      </c>
    </row>
    <row r="76" spans="1:7" ht="64" x14ac:dyDescent="0.2">
      <c r="A76" s="3" t="s">
        <v>1102</v>
      </c>
      <c r="B76" s="3" t="s">
        <v>1239</v>
      </c>
      <c r="C76" t="s">
        <v>1157</v>
      </c>
      <c r="D76" t="s">
        <v>1266</v>
      </c>
      <c r="F76">
        <f t="shared" si="1"/>
        <v>1</v>
      </c>
      <c r="G76">
        <f t="shared" si="1"/>
        <v>0</v>
      </c>
    </row>
    <row r="77" spans="1:7" ht="64" x14ac:dyDescent="0.2">
      <c r="A77" s="3" t="s">
        <v>1103</v>
      </c>
      <c r="B77" s="3" t="s">
        <v>1240</v>
      </c>
      <c r="C77" t="s">
        <v>42</v>
      </c>
      <c r="D77"/>
      <c r="F77">
        <f t="shared" si="1"/>
        <v>0</v>
      </c>
      <c r="G77">
        <f t="shared" si="1"/>
        <v>0</v>
      </c>
    </row>
    <row r="78" spans="1:7" ht="64" x14ac:dyDescent="0.2">
      <c r="A78" s="3" t="s">
        <v>1104</v>
      </c>
      <c r="B78" s="3" t="s">
        <v>1264</v>
      </c>
      <c r="C78" t="s">
        <v>132</v>
      </c>
      <c r="D78"/>
      <c r="F78">
        <f t="shared" si="1"/>
        <v>0</v>
      </c>
      <c r="G78">
        <f t="shared" si="1"/>
        <v>0</v>
      </c>
    </row>
    <row r="79" spans="1:7" ht="64" x14ac:dyDescent="0.2">
      <c r="A79" s="3" t="s">
        <v>1105</v>
      </c>
      <c r="B79" s="3" t="s">
        <v>1241</v>
      </c>
      <c r="C79" t="s">
        <v>1158</v>
      </c>
      <c r="D79"/>
      <c r="F79">
        <f t="shared" si="1"/>
        <v>0</v>
      </c>
      <c r="G79">
        <f t="shared" si="1"/>
        <v>0</v>
      </c>
    </row>
    <row r="80" spans="1:7" ht="48" x14ac:dyDescent="0.2">
      <c r="A80" s="3" t="s">
        <v>1106</v>
      </c>
      <c r="B80" s="3" t="s">
        <v>1242</v>
      </c>
      <c r="C80" t="s">
        <v>79</v>
      </c>
      <c r="D80"/>
      <c r="F80">
        <f t="shared" si="1"/>
        <v>0</v>
      </c>
      <c r="G80">
        <f t="shared" si="1"/>
        <v>0</v>
      </c>
    </row>
    <row r="81" spans="1:7" ht="48" x14ac:dyDescent="0.2">
      <c r="A81" s="3" t="s">
        <v>1107</v>
      </c>
      <c r="B81" s="3" t="s">
        <v>1243</v>
      </c>
      <c r="C81" t="s">
        <v>20</v>
      </c>
      <c r="D81"/>
      <c r="F81">
        <f t="shared" si="1"/>
        <v>0</v>
      </c>
      <c r="G81">
        <f t="shared" si="1"/>
        <v>0</v>
      </c>
    </row>
    <row r="82" spans="1:7" ht="48" x14ac:dyDescent="0.2">
      <c r="A82" s="3" t="s">
        <v>1108</v>
      </c>
      <c r="B82" s="3" t="s">
        <v>1244</v>
      </c>
      <c r="C82" t="s">
        <v>669</v>
      </c>
      <c r="D82"/>
      <c r="F82">
        <f t="shared" si="1"/>
        <v>0</v>
      </c>
      <c r="G82">
        <f t="shared" si="1"/>
        <v>0</v>
      </c>
    </row>
    <row r="83" spans="1:7" ht="64" x14ac:dyDescent="0.2">
      <c r="A83" s="3" t="s">
        <v>1109</v>
      </c>
      <c r="B83" s="3" t="s">
        <v>1245</v>
      </c>
      <c r="C83" t="s">
        <v>1159</v>
      </c>
      <c r="D83"/>
      <c r="F83">
        <f t="shared" si="1"/>
        <v>0</v>
      </c>
      <c r="G83">
        <f t="shared" si="1"/>
        <v>0</v>
      </c>
    </row>
    <row r="84" spans="1:7" ht="64" x14ac:dyDescent="0.2">
      <c r="A84" s="3" t="s">
        <v>1110</v>
      </c>
      <c r="B84" s="3" t="s">
        <v>1246</v>
      </c>
      <c r="C84" t="s">
        <v>245</v>
      </c>
      <c r="D84"/>
      <c r="F84">
        <f t="shared" si="1"/>
        <v>0</v>
      </c>
      <c r="G84">
        <f t="shared" si="1"/>
        <v>0</v>
      </c>
    </row>
    <row r="85" spans="1:7" ht="48" x14ac:dyDescent="0.2">
      <c r="A85" s="3" t="s">
        <v>1111</v>
      </c>
      <c r="B85" s="3" t="s">
        <v>1247</v>
      </c>
      <c r="C85" t="s">
        <v>426</v>
      </c>
      <c r="D85"/>
      <c r="F85">
        <f t="shared" si="1"/>
        <v>0</v>
      </c>
      <c r="G85">
        <f t="shared" si="1"/>
        <v>0</v>
      </c>
    </row>
    <row r="86" spans="1:7" ht="64" x14ac:dyDescent="0.2">
      <c r="A86" s="3" t="s">
        <v>1112</v>
      </c>
      <c r="B86" s="3" t="s">
        <v>1248</v>
      </c>
      <c r="C86" t="s">
        <v>176</v>
      </c>
      <c r="D86"/>
      <c r="F86">
        <f t="shared" si="1"/>
        <v>0</v>
      </c>
      <c r="G86">
        <f t="shared" si="1"/>
        <v>0</v>
      </c>
    </row>
    <row r="87" spans="1:7" ht="64" x14ac:dyDescent="0.2">
      <c r="A87" s="3" t="s">
        <v>1113</v>
      </c>
      <c r="B87" s="3" t="s">
        <v>1249</v>
      </c>
      <c r="C87" t="s">
        <v>129</v>
      </c>
      <c r="D87"/>
      <c r="F87">
        <f t="shared" si="1"/>
        <v>0</v>
      </c>
      <c r="G87">
        <f t="shared" si="1"/>
        <v>0</v>
      </c>
    </row>
    <row r="88" spans="1:7" ht="48" x14ac:dyDescent="0.2">
      <c r="A88" s="3" t="s">
        <v>1114</v>
      </c>
      <c r="B88" s="7" t="s">
        <v>1250</v>
      </c>
      <c r="C88" t="s">
        <v>104</v>
      </c>
      <c r="D88"/>
      <c r="E88" t="s">
        <v>46</v>
      </c>
      <c r="F88">
        <f t="shared" si="1"/>
        <v>0</v>
      </c>
      <c r="G88">
        <f t="shared" si="1"/>
        <v>1</v>
      </c>
    </row>
    <row r="89" spans="1:7" ht="64" x14ac:dyDescent="0.2">
      <c r="A89" s="3" t="s">
        <v>1115</v>
      </c>
      <c r="B89" s="7" t="s">
        <v>1251</v>
      </c>
      <c r="C89" t="s">
        <v>2</v>
      </c>
      <c r="D89"/>
      <c r="F89">
        <f t="shared" si="1"/>
        <v>0</v>
      </c>
      <c r="G89">
        <f t="shared" si="1"/>
        <v>0</v>
      </c>
    </row>
    <row r="90" spans="1:7" ht="64" x14ac:dyDescent="0.2">
      <c r="A90" s="3" t="s">
        <v>1116</v>
      </c>
      <c r="B90" s="7" t="s">
        <v>1252</v>
      </c>
      <c r="C90" t="s">
        <v>1160</v>
      </c>
      <c r="D90"/>
      <c r="F90">
        <f t="shared" si="1"/>
        <v>0</v>
      </c>
      <c r="G90">
        <f t="shared" si="1"/>
        <v>0</v>
      </c>
    </row>
    <row r="91" spans="1:7" ht="48" x14ac:dyDescent="0.2">
      <c r="A91" s="3" t="s">
        <v>1117</v>
      </c>
      <c r="B91" s="7" t="s">
        <v>1253</v>
      </c>
      <c r="C91" t="s">
        <v>1161</v>
      </c>
      <c r="D91"/>
      <c r="F91">
        <f t="shared" si="1"/>
        <v>0</v>
      </c>
      <c r="G91">
        <f t="shared" si="1"/>
        <v>0</v>
      </c>
    </row>
    <row r="92" spans="1:7" ht="48" x14ac:dyDescent="0.2">
      <c r="A92" s="3" t="s">
        <v>1118</v>
      </c>
      <c r="B92" s="7" t="s">
        <v>1254</v>
      </c>
      <c r="C92" t="s">
        <v>1162</v>
      </c>
      <c r="D92"/>
      <c r="F92">
        <f t="shared" si="1"/>
        <v>0</v>
      </c>
      <c r="G92">
        <f t="shared" si="1"/>
        <v>0</v>
      </c>
    </row>
    <row r="93" spans="1:7" ht="48" x14ac:dyDescent="0.2">
      <c r="A93" s="3" t="s">
        <v>1119</v>
      </c>
      <c r="B93" s="7" t="s">
        <v>1255</v>
      </c>
      <c r="C93" t="s">
        <v>651</v>
      </c>
      <c r="D93"/>
      <c r="F93">
        <f t="shared" si="1"/>
        <v>0</v>
      </c>
      <c r="G93">
        <f t="shared" si="1"/>
        <v>0</v>
      </c>
    </row>
    <row r="94" spans="1:7" ht="64" x14ac:dyDescent="0.2">
      <c r="A94" s="3" t="s">
        <v>1120</v>
      </c>
      <c r="B94" s="7" t="s">
        <v>1256</v>
      </c>
      <c r="C94" t="s">
        <v>42</v>
      </c>
      <c r="D94"/>
      <c r="F94">
        <f t="shared" si="1"/>
        <v>0</v>
      </c>
      <c r="G94">
        <f t="shared" si="1"/>
        <v>0</v>
      </c>
    </row>
    <row r="95" spans="1:7" ht="64" x14ac:dyDescent="0.2">
      <c r="A95" s="3" t="s">
        <v>1121</v>
      </c>
      <c r="B95" s="7" t="s">
        <v>1257</v>
      </c>
      <c r="C95" t="s">
        <v>84</v>
      </c>
      <c r="D95"/>
      <c r="F95">
        <f t="shared" si="1"/>
        <v>0</v>
      </c>
      <c r="G95">
        <f t="shared" si="1"/>
        <v>0</v>
      </c>
    </row>
    <row r="96" spans="1:7" ht="48" x14ac:dyDescent="0.2">
      <c r="A96" s="3" t="s">
        <v>1122</v>
      </c>
      <c r="B96" s="7" t="s">
        <v>1258</v>
      </c>
      <c r="C96" t="s">
        <v>78</v>
      </c>
      <c r="D96"/>
      <c r="F96">
        <f t="shared" si="1"/>
        <v>0</v>
      </c>
      <c r="G96">
        <f t="shared" si="1"/>
        <v>0</v>
      </c>
    </row>
    <row r="97" spans="1:7" ht="64" x14ac:dyDescent="0.2">
      <c r="A97" s="3" t="s">
        <v>1123</v>
      </c>
      <c r="B97" s="7" t="s">
        <v>1259</v>
      </c>
      <c r="C97" t="s">
        <v>1163</v>
      </c>
      <c r="D97"/>
      <c r="F97">
        <f t="shared" si="1"/>
        <v>0</v>
      </c>
      <c r="G97">
        <f t="shared" si="1"/>
        <v>0</v>
      </c>
    </row>
    <row r="98" spans="1:7" ht="80" x14ac:dyDescent="0.2">
      <c r="A98" s="3" t="s">
        <v>1124</v>
      </c>
      <c r="B98" s="7" t="s">
        <v>1265</v>
      </c>
      <c r="C98" t="s">
        <v>1164</v>
      </c>
      <c r="D98"/>
      <c r="F98">
        <f t="shared" si="1"/>
        <v>0</v>
      </c>
      <c r="G98">
        <f t="shared" si="1"/>
        <v>0</v>
      </c>
    </row>
    <row r="99" spans="1:7" ht="48" x14ac:dyDescent="0.2">
      <c r="A99" s="3" t="s">
        <v>1125</v>
      </c>
      <c r="B99" s="7" t="s">
        <v>1260</v>
      </c>
      <c r="C99" t="s">
        <v>1165</v>
      </c>
      <c r="D99"/>
      <c r="F99">
        <f t="shared" si="1"/>
        <v>0</v>
      </c>
      <c r="G99">
        <f t="shared" si="1"/>
        <v>0</v>
      </c>
    </row>
    <row r="100" spans="1:7" ht="48" x14ac:dyDescent="0.2">
      <c r="A100" s="3" t="s">
        <v>1126</v>
      </c>
      <c r="B100" s="7" t="s">
        <v>1261</v>
      </c>
      <c r="C100" t="s">
        <v>79</v>
      </c>
      <c r="D100"/>
      <c r="F100">
        <f t="shared" si="1"/>
        <v>0</v>
      </c>
      <c r="G100">
        <f t="shared" si="1"/>
        <v>0</v>
      </c>
    </row>
    <row r="101" spans="1:7" ht="64" x14ac:dyDescent="0.2">
      <c r="A101" s="3" t="s">
        <v>1127</v>
      </c>
      <c r="B101" s="7" t="s">
        <v>1262</v>
      </c>
      <c r="C101" t="s">
        <v>67</v>
      </c>
      <c r="D101"/>
      <c r="F101">
        <f t="shared" si="1"/>
        <v>0</v>
      </c>
      <c r="G101">
        <f t="shared" si="1"/>
        <v>0</v>
      </c>
    </row>
    <row r="103" spans="1:7" x14ac:dyDescent="0.2">
      <c r="F103" s="10">
        <f>SUM(F2:F101)</f>
        <v>4</v>
      </c>
      <c r="G103" s="10">
        <f>SUM(G2:G101)</f>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6E34-C559-E549-AD33-FAF406AEC66D}">
  <dimension ref="A1:G103"/>
  <sheetViews>
    <sheetView topLeftCell="A99" zoomScale="160" zoomScaleNormal="160" workbookViewId="0">
      <selection activeCell="D29" sqref="D29"/>
    </sheetView>
  </sheetViews>
  <sheetFormatPr baseColWidth="10" defaultRowHeight="15" x14ac:dyDescent="0.2"/>
  <cols>
    <col min="1" max="1" width="47" style="3" customWidth="1"/>
    <col min="2" max="2" width="56.1640625" style="7" customWidth="1"/>
    <col min="3" max="3" width="10.1640625" customWidth="1"/>
    <col min="4" max="4" width="15.1640625" style="9" customWidth="1"/>
    <col min="5" max="5" width="13.33203125" customWidth="1"/>
  </cols>
  <sheetData>
    <row r="1" spans="1:7" ht="16" x14ac:dyDescent="0.2">
      <c r="A1" s="2" t="s">
        <v>0</v>
      </c>
      <c r="B1" s="6"/>
      <c r="C1" s="1" t="s">
        <v>1</v>
      </c>
      <c r="D1" s="8" t="s">
        <v>44</v>
      </c>
      <c r="E1" s="1" t="s">
        <v>45</v>
      </c>
      <c r="F1" s="1" t="s">
        <v>44</v>
      </c>
      <c r="G1" s="1" t="s">
        <v>45</v>
      </c>
    </row>
    <row r="2" spans="1:7" ht="64" x14ac:dyDescent="0.2">
      <c r="A2" s="3" t="s">
        <v>1267</v>
      </c>
      <c r="B2" s="3" t="s">
        <v>1399</v>
      </c>
      <c r="C2" t="s">
        <v>1367</v>
      </c>
      <c r="D2" t="s">
        <v>85</v>
      </c>
      <c r="E2" t="s">
        <v>194</v>
      </c>
      <c r="F2">
        <f>IF(D2="",0,1)</f>
        <v>1</v>
      </c>
      <c r="G2">
        <f>IF(E2="",0,1)</f>
        <v>1</v>
      </c>
    </row>
    <row r="3" spans="1:7" ht="64" x14ac:dyDescent="0.2">
      <c r="A3" s="3" t="s">
        <v>1268</v>
      </c>
      <c r="B3" s="11" t="s">
        <v>1400</v>
      </c>
      <c r="C3" t="s">
        <v>190</v>
      </c>
      <c r="D3"/>
      <c r="F3">
        <f t="shared" ref="F3:G66" si="0">IF(D3="",0,1)</f>
        <v>0</v>
      </c>
      <c r="G3">
        <f t="shared" si="0"/>
        <v>0</v>
      </c>
    </row>
    <row r="4" spans="1:7" ht="64" x14ac:dyDescent="0.2">
      <c r="A4" s="3" t="s">
        <v>1269</v>
      </c>
      <c r="B4" s="3" t="s">
        <v>1401</v>
      </c>
      <c r="C4" t="s">
        <v>42</v>
      </c>
      <c r="D4"/>
      <c r="F4">
        <f t="shared" si="0"/>
        <v>0</v>
      </c>
      <c r="G4">
        <f t="shared" si="0"/>
        <v>0</v>
      </c>
    </row>
    <row r="5" spans="1:7" ht="64" x14ac:dyDescent="0.2">
      <c r="A5" s="3" t="s">
        <v>1270</v>
      </c>
      <c r="B5" s="3" t="s">
        <v>1402</v>
      </c>
      <c r="C5" t="s">
        <v>1368</v>
      </c>
      <c r="D5"/>
      <c r="F5">
        <f t="shared" si="0"/>
        <v>0</v>
      </c>
      <c r="G5">
        <f t="shared" si="0"/>
        <v>0</v>
      </c>
    </row>
    <row r="6" spans="1:7" ht="64" x14ac:dyDescent="0.2">
      <c r="A6" s="3" t="s">
        <v>1271</v>
      </c>
      <c r="B6" s="3" t="s">
        <v>1403</v>
      </c>
      <c r="C6" t="s">
        <v>137</v>
      </c>
      <c r="D6"/>
      <c r="F6">
        <f t="shared" si="0"/>
        <v>0</v>
      </c>
      <c r="G6">
        <f t="shared" si="0"/>
        <v>0</v>
      </c>
    </row>
    <row r="7" spans="1:7" ht="64" x14ac:dyDescent="0.2">
      <c r="A7" s="3" t="s">
        <v>1272</v>
      </c>
      <c r="B7" s="3" t="s">
        <v>1404</v>
      </c>
      <c r="C7" t="s">
        <v>5</v>
      </c>
      <c r="D7"/>
      <c r="F7">
        <f t="shared" si="0"/>
        <v>0</v>
      </c>
      <c r="G7">
        <f t="shared" si="0"/>
        <v>0</v>
      </c>
    </row>
    <row r="8" spans="1:7" ht="48" x14ac:dyDescent="0.2">
      <c r="A8" s="3" t="s">
        <v>1273</v>
      </c>
      <c r="B8" s="3" t="s">
        <v>1493</v>
      </c>
      <c r="C8" t="s">
        <v>283</v>
      </c>
      <c r="D8"/>
      <c r="F8">
        <f t="shared" si="0"/>
        <v>0</v>
      </c>
      <c r="G8">
        <f t="shared" si="0"/>
        <v>0</v>
      </c>
    </row>
    <row r="9" spans="1:7" ht="80" x14ac:dyDescent="0.2">
      <c r="A9" s="3" t="s">
        <v>1274</v>
      </c>
      <c r="B9" s="3" t="s">
        <v>1492</v>
      </c>
      <c r="C9" t="s">
        <v>11</v>
      </c>
      <c r="D9"/>
      <c r="F9">
        <f t="shared" si="0"/>
        <v>0</v>
      </c>
      <c r="G9">
        <f t="shared" si="0"/>
        <v>0</v>
      </c>
    </row>
    <row r="10" spans="1:7" ht="64" x14ac:dyDescent="0.2">
      <c r="A10" s="3" t="s">
        <v>1275</v>
      </c>
      <c r="B10" s="3" t="s">
        <v>1405</v>
      </c>
      <c r="C10" t="s">
        <v>15</v>
      </c>
      <c r="D10"/>
      <c r="F10">
        <f t="shared" si="0"/>
        <v>0</v>
      </c>
      <c r="G10">
        <f t="shared" si="0"/>
        <v>0</v>
      </c>
    </row>
    <row r="11" spans="1:7" ht="64" x14ac:dyDescent="0.2">
      <c r="A11" s="3" t="s">
        <v>1276</v>
      </c>
      <c r="B11" s="3" t="s">
        <v>1406</v>
      </c>
      <c r="C11" t="s">
        <v>1369</v>
      </c>
      <c r="D11"/>
      <c r="F11">
        <f t="shared" si="0"/>
        <v>0</v>
      </c>
      <c r="G11">
        <f t="shared" si="0"/>
        <v>0</v>
      </c>
    </row>
    <row r="12" spans="1:7" ht="64" x14ac:dyDescent="0.2">
      <c r="A12" s="3" t="s">
        <v>1277</v>
      </c>
      <c r="B12" s="3" t="s">
        <v>1407</v>
      </c>
      <c r="C12" t="s">
        <v>221</v>
      </c>
      <c r="D12" t="s">
        <v>1497</v>
      </c>
      <c r="F12">
        <f t="shared" si="0"/>
        <v>1</v>
      </c>
      <c r="G12">
        <f t="shared" si="0"/>
        <v>0</v>
      </c>
    </row>
    <row r="13" spans="1:7" ht="48" x14ac:dyDescent="0.2">
      <c r="A13" s="3" t="s">
        <v>1278</v>
      </c>
      <c r="B13" s="3" t="s">
        <v>1408</v>
      </c>
      <c r="C13" t="s">
        <v>8</v>
      </c>
      <c r="D13"/>
      <c r="F13">
        <f t="shared" si="0"/>
        <v>0</v>
      </c>
      <c r="G13">
        <f t="shared" si="0"/>
        <v>0</v>
      </c>
    </row>
    <row r="14" spans="1:7" ht="80" x14ac:dyDescent="0.2">
      <c r="A14" s="3" t="s">
        <v>1279</v>
      </c>
      <c r="B14" s="3" t="s">
        <v>1409</v>
      </c>
      <c r="C14" t="s">
        <v>172</v>
      </c>
      <c r="D14"/>
      <c r="F14">
        <f t="shared" si="0"/>
        <v>0</v>
      </c>
      <c r="G14">
        <f t="shared" si="0"/>
        <v>0</v>
      </c>
    </row>
    <row r="15" spans="1:7" ht="64" x14ac:dyDescent="0.2">
      <c r="A15" s="3" t="s">
        <v>1280</v>
      </c>
      <c r="B15" s="3" t="s">
        <v>1410</v>
      </c>
      <c r="C15" t="s">
        <v>1370</v>
      </c>
      <c r="D15"/>
      <c r="F15">
        <f t="shared" si="0"/>
        <v>0</v>
      </c>
      <c r="G15">
        <f t="shared" si="0"/>
        <v>0</v>
      </c>
    </row>
    <row r="16" spans="1:7" ht="64" x14ac:dyDescent="0.2">
      <c r="A16" s="3" t="s">
        <v>1281</v>
      </c>
      <c r="B16" s="3" t="s">
        <v>1411</v>
      </c>
      <c r="C16" t="s">
        <v>32</v>
      </c>
      <c r="D16"/>
      <c r="F16">
        <f t="shared" si="0"/>
        <v>0</v>
      </c>
      <c r="G16">
        <f t="shared" si="0"/>
        <v>0</v>
      </c>
    </row>
    <row r="17" spans="1:7" ht="64" x14ac:dyDescent="0.2">
      <c r="A17" s="3" t="s">
        <v>1282</v>
      </c>
      <c r="B17" s="3" t="s">
        <v>1412</v>
      </c>
      <c r="C17" t="s">
        <v>1371</v>
      </c>
      <c r="D17"/>
      <c r="F17">
        <f t="shared" si="0"/>
        <v>0</v>
      </c>
      <c r="G17">
        <f t="shared" si="0"/>
        <v>0</v>
      </c>
    </row>
    <row r="18" spans="1:7" ht="64" x14ac:dyDescent="0.2">
      <c r="A18" s="3" t="s">
        <v>1283</v>
      </c>
      <c r="B18" s="3" t="s">
        <v>1494</v>
      </c>
      <c r="C18" t="s">
        <v>1372</v>
      </c>
      <c r="D18"/>
      <c r="F18">
        <f t="shared" si="0"/>
        <v>0</v>
      </c>
      <c r="G18">
        <f t="shared" si="0"/>
        <v>0</v>
      </c>
    </row>
    <row r="19" spans="1:7" ht="64" x14ac:dyDescent="0.2">
      <c r="A19" s="3" t="s">
        <v>1284</v>
      </c>
      <c r="B19" s="3" t="s">
        <v>1413</v>
      </c>
      <c r="C19" t="s">
        <v>30</v>
      </c>
      <c r="D19"/>
      <c r="F19">
        <f t="shared" si="0"/>
        <v>0</v>
      </c>
      <c r="G19">
        <f t="shared" si="0"/>
        <v>0</v>
      </c>
    </row>
    <row r="20" spans="1:7" ht="64" x14ac:dyDescent="0.2">
      <c r="A20" s="3" t="s">
        <v>1285</v>
      </c>
      <c r="B20" s="3" t="s">
        <v>1414</v>
      </c>
      <c r="C20" t="s">
        <v>135</v>
      </c>
      <c r="D20"/>
      <c r="F20">
        <f t="shared" si="0"/>
        <v>0</v>
      </c>
      <c r="G20">
        <f t="shared" si="0"/>
        <v>0</v>
      </c>
    </row>
    <row r="21" spans="1:7" ht="64" x14ac:dyDescent="0.2">
      <c r="A21" s="3" t="s">
        <v>1286</v>
      </c>
      <c r="B21" s="3" t="s">
        <v>1415</v>
      </c>
      <c r="C21" t="s">
        <v>104</v>
      </c>
      <c r="D21"/>
      <c r="F21">
        <f t="shared" si="0"/>
        <v>0</v>
      </c>
      <c r="G21">
        <f t="shared" si="0"/>
        <v>0</v>
      </c>
    </row>
    <row r="22" spans="1:7" ht="64" x14ac:dyDescent="0.2">
      <c r="A22" s="3" t="s">
        <v>1287</v>
      </c>
      <c r="B22" s="3" t="s">
        <v>1416</v>
      </c>
      <c r="C22" t="s">
        <v>1373</v>
      </c>
      <c r="D22"/>
      <c r="F22">
        <f t="shared" si="0"/>
        <v>0</v>
      </c>
      <c r="G22">
        <f t="shared" si="0"/>
        <v>0</v>
      </c>
    </row>
    <row r="23" spans="1:7" ht="64" x14ac:dyDescent="0.2">
      <c r="A23" s="3" t="s">
        <v>1288</v>
      </c>
      <c r="B23" s="3" t="s">
        <v>1417</v>
      </c>
      <c r="C23" t="s">
        <v>187</v>
      </c>
      <c r="D23"/>
      <c r="F23">
        <f t="shared" si="0"/>
        <v>0</v>
      </c>
      <c r="G23">
        <f t="shared" si="0"/>
        <v>0</v>
      </c>
    </row>
    <row r="24" spans="1:7" ht="64" x14ac:dyDescent="0.2">
      <c r="A24" s="3" t="s">
        <v>1289</v>
      </c>
      <c r="B24" s="3" t="s">
        <v>1418</v>
      </c>
      <c r="C24" t="s">
        <v>2</v>
      </c>
      <c r="D24"/>
      <c r="F24">
        <f t="shared" si="0"/>
        <v>0</v>
      </c>
      <c r="G24">
        <f t="shared" si="0"/>
        <v>0</v>
      </c>
    </row>
    <row r="25" spans="1:7" ht="64" x14ac:dyDescent="0.2">
      <c r="A25" s="3" t="s">
        <v>1290</v>
      </c>
      <c r="B25" s="3" t="s">
        <v>1419</v>
      </c>
      <c r="C25" t="s">
        <v>285</v>
      </c>
      <c r="D25"/>
      <c r="F25">
        <f t="shared" si="0"/>
        <v>0</v>
      </c>
      <c r="G25">
        <f t="shared" si="0"/>
        <v>0</v>
      </c>
    </row>
    <row r="26" spans="1:7" ht="64" x14ac:dyDescent="0.2">
      <c r="A26" s="3" t="s">
        <v>1291</v>
      </c>
      <c r="B26" s="3" t="s">
        <v>1420</v>
      </c>
      <c r="C26" t="s">
        <v>1374</v>
      </c>
      <c r="D26"/>
      <c r="F26">
        <f t="shared" si="0"/>
        <v>0</v>
      </c>
      <c r="G26">
        <f t="shared" si="0"/>
        <v>0</v>
      </c>
    </row>
    <row r="27" spans="1:7" ht="64" x14ac:dyDescent="0.2">
      <c r="A27" s="3" t="s">
        <v>1292</v>
      </c>
      <c r="B27" s="3" t="s">
        <v>1421</v>
      </c>
      <c r="C27" t="s">
        <v>103</v>
      </c>
      <c r="D27"/>
      <c r="F27">
        <f t="shared" si="0"/>
        <v>0</v>
      </c>
      <c r="G27">
        <f t="shared" si="0"/>
        <v>0</v>
      </c>
    </row>
    <row r="28" spans="1:7" ht="64" x14ac:dyDescent="0.2">
      <c r="A28" s="3" t="s">
        <v>1293</v>
      </c>
      <c r="B28" s="3" t="s">
        <v>1422</v>
      </c>
      <c r="C28" t="s">
        <v>1375</v>
      </c>
      <c r="D28"/>
      <c r="F28">
        <f t="shared" si="0"/>
        <v>0</v>
      </c>
      <c r="G28">
        <f t="shared" si="0"/>
        <v>0</v>
      </c>
    </row>
    <row r="29" spans="1:7" ht="64" x14ac:dyDescent="0.2">
      <c r="A29" s="3" t="s">
        <v>1294</v>
      </c>
      <c r="B29" s="3" t="s">
        <v>1423</v>
      </c>
      <c r="C29" t="s">
        <v>284</v>
      </c>
      <c r="D29"/>
      <c r="F29">
        <f t="shared" si="0"/>
        <v>0</v>
      </c>
      <c r="G29">
        <f t="shared" si="0"/>
        <v>0</v>
      </c>
    </row>
    <row r="30" spans="1:7" ht="64" x14ac:dyDescent="0.2">
      <c r="A30" s="3" t="s">
        <v>1295</v>
      </c>
      <c r="B30" s="3" t="s">
        <v>1424</v>
      </c>
      <c r="C30" t="s">
        <v>4</v>
      </c>
      <c r="D30"/>
      <c r="F30">
        <f t="shared" si="0"/>
        <v>0</v>
      </c>
      <c r="G30">
        <f t="shared" si="0"/>
        <v>0</v>
      </c>
    </row>
    <row r="31" spans="1:7" ht="48" x14ac:dyDescent="0.2">
      <c r="A31" s="3" t="s">
        <v>1296</v>
      </c>
      <c r="B31" s="3" t="s">
        <v>1425</v>
      </c>
      <c r="C31" t="s">
        <v>1376</v>
      </c>
      <c r="D31" t="s">
        <v>116</v>
      </c>
      <c r="F31">
        <f t="shared" si="0"/>
        <v>1</v>
      </c>
      <c r="G31">
        <f t="shared" si="0"/>
        <v>0</v>
      </c>
    </row>
    <row r="32" spans="1:7" ht="64" x14ac:dyDescent="0.2">
      <c r="A32" s="3" t="s">
        <v>1297</v>
      </c>
      <c r="B32" s="3" t="s">
        <v>1426</v>
      </c>
      <c r="C32" t="s">
        <v>1377</v>
      </c>
      <c r="D32"/>
      <c r="F32">
        <f t="shared" si="0"/>
        <v>0</v>
      </c>
      <c r="G32">
        <f t="shared" si="0"/>
        <v>0</v>
      </c>
    </row>
    <row r="33" spans="1:7" ht="64" x14ac:dyDescent="0.2">
      <c r="A33" s="3" t="s">
        <v>1298</v>
      </c>
      <c r="B33" s="3" t="s">
        <v>1495</v>
      </c>
      <c r="C33" t="s">
        <v>109</v>
      </c>
      <c r="D33"/>
      <c r="F33">
        <f t="shared" si="0"/>
        <v>0</v>
      </c>
      <c r="G33">
        <f t="shared" si="0"/>
        <v>0</v>
      </c>
    </row>
    <row r="34" spans="1:7" ht="64" x14ac:dyDescent="0.2">
      <c r="A34" s="3" t="s">
        <v>1299</v>
      </c>
      <c r="B34" s="3" t="s">
        <v>1427</v>
      </c>
      <c r="C34" t="s">
        <v>1378</v>
      </c>
      <c r="D34"/>
      <c r="F34">
        <f t="shared" si="0"/>
        <v>0</v>
      </c>
      <c r="G34">
        <f t="shared" si="0"/>
        <v>0</v>
      </c>
    </row>
    <row r="35" spans="1:7" ht="64" x14ac:dyDescent="0.2">
      <c r="A35" s="3" t="s">
        <v>1300</v>
      </c>
      <c r="B35" s="3" t="s">
        <v>1428</v>
      </c>
      <c r="C35" t="s">
        <v>109</v>
      </c>
      <c r="D35"/>
      <c r="F35">
        <f t="shared" si="0"/>
        <v>0</v>
      </c>
      <c r="G35">
        <f t="shared" si="0"/>
        <v>0</v>
      </c>
    </row>
    <row r="36" spans="1:7" ht="64" x14ac:dyDescent="0.2">
      <c r="A36" s="3" t="s">
        <v>1301</v>
      </c>
      <c r="B36" s="3" t="s">
        <v>1429</v>
      </c>
      <c r="C36" t="s">
        <v>1379</v>
      </c>
      <c r="D36"/>
      <c r="F36">
        <f t="shared" si="0"/>
        <v>0</v>
      </c>
      <c r="G36">
        <f t="shared" si="0"/>
        <v>0</v>
      </c>
    </row>
    <row r="37" spans="1:7" ht="64" x14ac:dyDescent="0.2">
      <c r="A37" s="3" t="s">
        <v>1302</v>
      </c>
      <c r="B37" s="3" t="s">
        <v>1430</v>
      </c>
      <c r="C37" t="s">
        <v>284</v>
      </c>
      <c r="D37"/>
      <c r="F37">
        <f t="shared" si="0"/>
        <v>0</v>
      </c>
      <c r="G37">
        <f t="shared" si="0"/>
        <v>0</v>
      </c>
    </row>
    <row r="38" spans="1:7" ht="64" x14ac:dyDescent="0.2">
      <c r="A38" s="3" t="s">
        <v>1303</v>
      </c>
      <c r="B38" s="3" t="s">
        <v>1431</v>
      </c>
      <c r="C38" t="s">
        <v>83</v>
      </c>
      <c r="D38"/>
      <c r="F38">
        <f t="shared" si="0"/>
        <v>0</v>
      </c>
      <c r="G38">
        <f t="shared" si="0"/>
        <v>0</v>
      </c>
    </row>
    <row r="39" spans="1:7" ht="64" x14ac:dyDescent="0.2">
      <c r="A39" s="3" t="s">
        <v>1304</v>
      </c>
      <c r="B39" s="3" t="s">
        <v>1432</v>
      </c>
      <c r="C39" t="s">
        <v>37</v>
      </c>
      <c r="D39"/>
      <c r="F39">
        <f t="shared" si="0"/>
        <v>0</v>
      </c>
      <c r="G39">
        <f t="shared" si="0"/>
        <v>0</v>
      </c>
    </row>
    <row r="40" spans="1:7" ht="64" x14ac:dyDescent="0.2">
      <c r="A40" s="3" t="s">
        <v>1305</v>
      </c>
      <c r="B40" s="3" t="s">
        <v>1433</v>
      </c>
      <c r="C40" t="s">
        <v>1380</v>
      </c>
      <c r="D40"/>
      <c r="F40">
        <f t="shared" si="0"/>
        <v>0</v>
      </c>
      <c r="G40">
        <f t="shared" si="0"/>
        <v>0</v>
      </c>
    </row>
    <row r="41" spans="1:7" ht="64" x14ac:dyDescent="0.2">
      <c r="A41" s="3" t="s">
        <v>1306</v>
      </c>
      <c r="B41" s="3" t="s">
        <v>1434</v>
      </c>
      <c r="C41" t="s">
        <v>132</v>
      </c>
      <c r="D41"/>
      <c r="E41" t="s">
        <v>1020</v>
      </c>
      <c r="F41">
        <f t="shared" si="0"/>
        <v>0</v>
      </c>
      <c r="G41">
        <f t="shared" si="0"/>
        <v>1</v>
      </c>
    </row>
    <row r="42" spans="1:7" ht="64" x14ac:dyDescent="0.2">
      <c r="A42" s="3" t="s">
        <v>1307</v>
      </c>
      <c r="B42" s="3" t="s">
        <v>1435</v>
      </c>
      <c r="C42" t="s">
        <v>228</v>
      </c>
      <c r="D42"/>
      <c r="F42">
        <f t="shared" si="0"/>
        <v>0</v>
      </c>
      <c r="G42">
        <f t="shared" si="0"/>
        <v>0</v>
      </c>
    </row>
    <row r="43" spans="1:7" ht="64" x14ac:dyDescent="0.2">
      <c r="A43" s="3" t="s">
        <v>1308</v>
      </c>
      <c r="B43" s="3" t="s">
        <v>1436</v>
      </c>
      <c r="C43" t="s">
        <v>61</v>
      </c>
      <c r="D43"/>
      <c r="F43">
        <f t="shared" si="0"/>
        <v>0</v>
      </c>
      <c r="G43">
        <f t="shared" si="0"/>
        <v>0</v>
      </c>
    </row>
    <row r="44" spans="1:7" ht="64" x14ac:dyDescent="0.2">
      <c r="A44" s="3" t="s">
        <v>1309</v>
      </c>
      <c r="B44" s="3" t="s">
        <v>1437</v>
      </c>
      <c r="C44" t="s">
        <v>68</v>
      </c>
      <c r="D44"/>
      <c r="F44">
        <f t="shared" si="0"/>
        <v>0</v>
      </c>
      <c r="G44">
        <f t="shared" si="0"/>
        <v>0</v>
      </c>
    </row>
    <row r="45" spans="1:7" ht="64" x14ac:dyDescent="0.2">
      <c r="A45" s="3" t="s">
        <v>1310</v>
      </c>
      <c r="B45" s="3" t="s">
        <v>1438</v>
      </c>
      <c r="C45" t="s">
        <v>8</v>
      </c>
      <c r="D45"/>
      <c r="E45" t="s">
        <v>119</v>
      </c>
      <c r="F45">
        <f t="shared" si="0"/>
        <v>0</v>
      </c>
      <c r="G45">
        <f t="shared" si="0"/>
        <v>1</v>
      </c>
    </row>
    <row r="46" spans="1:7" ht="64" x14ac:dyDescent="0.2">
      <c r="A46" s="3" t="s">
        <v>1311</v>
      </c>
      <c r="B46" s="3" t="s">
        <v>1439</v>
      </c>
      <c r="C46" t="s">
        <v>1381</v>
      </c>
      <c r="D46"/>
      <c r="F46">
        <f t="shared" si="0"/>
        <v>0</v>
      </c>
      <c r="G46">
        <f t="shared" si="0"/>
        <v>0</v>
      </c>
    </row>
    <row r="47" spans="1:7" ht="64" x14ac:dyDescent="0.2">
      <c r="A47" s="3" t="s">
        <v>1312</v>
      </c>
      <c r="B47" s="3" t="s">
        <v>1440</v>
      </c>
      <c r="C47" t="s">
        <v>1382</v>
      </c>
      <c r="D47"/>
      <c r="F47">
        <f t="shared" si="0"/>
        <v>0</v>
      </c>
      <c r="G47">
        <f t="shared" si="0"/>
        <v>0</v>
      </c>
    </row>
    <row r="48" spans="1:7" ht="64" x14ac:dyDescent="0.2">
      <c r="A48" s="3" t="s">
        <v>1313</v>
      </c>
      <c r="B48" s="3" t="s">
        <v>1441</v>
      </c>
      <c r="C48" t="s">
        <v>1383</v>
      </c>
      <c r="D48"/>
      <c r="F48">
        <f t="shared" si="0"/>
        <v>0</v>
      </c>
      <c r="G48">
        <f t="shared" si="0"/>
        <v>0</v>
      </c>
    </row>
    <row r="49" spans="1:7" ht="64" x14ac:dyDescent="0.2">
      <c r="A49" s="3" t="s">
        <v>1314</v>
      </c>
      <c r="B49" s="3" t="s">
        <v>1442</v>
      </c>
      <c r="C49" t="s">
        <v>13</v>
      </c>
      <c r="D49"/>
      <c r="F49">
        <f t="shared" si="0"/>
        <v>0</v>
      </c>
      <c r="G49">
        <f t="shared" si="0"/>
        <v>0</v>
      </c>
    </row>
    <row r="50" spans="1:7" ht="64" x14ac:dyDescent="0.2">
      <c r="A50" s="3" t="s">
        <v>1315</v>
      </c>
      <c r="B50" s="3" t="s">
        <v>1443</v>
      </c>
      <c r="C50" t="s">
        <v>13</v>
      </c>
      <c r="D50"/>
      <c r="F50">
        <f t="shared" si="0"/>
        <v>0</v>
      </c>
      <c r="G50">
        <f t="shared" si="0"/>
        <v>0</v>
      </c>
    </row>
    <row r="51" spans="1:7" ht="64" x14ac:dyDescent="0.2">
      <c r="A51" s="3" t="s">
        <v>1316</v>
      </c>
      <c r="B51" s="3" t="s">
        <v>1444</v>
      </c>
      <c r="C51" t="s">
        <v>114</v>
      </c>
      <c r="D51" t="s">
        <v>49</v>
      </c>
      <c r="F51">
        <f t="shared" si="0"/>
        <v>1</v>
      </c>
      <c r="G51">
        <f t="shared" si="0"/>
        <v>0</v>
      </c>
    </row>
    <row r="52" spans="1:7" ht="64" x14ac:dyDescent="0.2">
      <c r="A52" s="3" t="s">
        <v>1317</v>
      </c>
      <c r="B52" s="3" t="s">
        <v>1445</v>
      </c>
      <c r="C52" t="s">
        <v>1384</v>
      </c>
      <c r="D52"/>
      <c r="F52">
        <f t="shared" si="0"/>
        <v>0</v>
      </c>
      <c r="G52">
        <f t="shared" si="0"/>
        <v>0</v>
      </c>
    </row>
    <row r="53" spans="1:7" ht="64" x14ac:dyDescent="0.2">
      <c r="A53" s="3" t="s">
        <v>1318</v>
      </c>
      <c r="B53" s="3" t="s">
        <v>1446</v>
      </c>
      <c r="C53" t="s">
        <v>1385</v>
      </c>
      <c r="D53"/>
      <c r="F53">
        <f t="shared" si="0"/>
        <v>0</v>
      </c>
      <c r="G53">
        <f t="shared" si="0"/>
        <v>0</v>
      </c>
    </row>
    <row r="54" spans="1:7" ht="64" x14ac:dyDescent="0.2">
      <c r="A54" s="3" t="s">
        <v>1319</v>
      </c>
      <c r="B54" s="3" t="s">
        <v>1447</v>
      </c>
      <c r="C54" t="s">
        <v>135</v>
      </c>
      <c r="D54"/>
      <c r="F54">
        <f t="shared" si="0"/>
        <v>0</v>
      </c>
      <c r="G54">
        <f t="shared" si="0"/>
        <v>0</v>
      </c>
    </row>
    <row r="55" spans="1:7" ht="64" x14ac:dyDescent="0.2">
      <c r="A55" s="3" t="s">
        <v>1320</v>
      </c>
      <c r="B55" s="3" t="s">
        <v>1448</v>
      </c>
      <c r="C55" t="s">
        <v>162</v>
      </c>
      <c r="D55"/>
      <c r="F55">
        <f t="shared" si="0"/>
        <v>0</v>
      </c>
      <c r="G55">
        <f t="shared" si="0"/>
        <v>0</v>
      </c>
    </row>
    <row r="56" spans="1:7" ht="64" x14ac:dyDescent="0.2">
      <c r="A56" s="3" t="s">
        <v>1321</v>
      </c>
      <c r="B56" s="3" t="s">
        <v>1449</v>
      </c>
      <c r="C56" t="s">
        <v>1386</v>
      </c>
      <c r="D56"/>
      <c r="F56">
        <f t="shared" si="0"/>
        <v>0</v>
      </c>
      <c r="G56">
        <f t="shared" si="0"/>
        <v>0</v>
      </c>
    </row>
    <row r="57" spans="1:7" ht="48" x14ac:dyDescent="0.2">
      <c r="A57" s="3" t="s">
        <v>1322</v>
      </c>
      <c r="B57" s="3" t="s">
        <v>1450</v>
      </c>
      <c r="C57" t="s">
        <v>160</v>
      </c>
      <c r="D57"/>
      <c r="F57">
        <f t="shared" si="0"/>
        <v>0</v>
      </c>
      <c r="G57">
        <f t="shared" si="0"/>
        <v>0</v>
      </c>
    </row>
    <row r="58" spans="1:7" ht="64" x14ac:dyDescent="0.2">
      <c r="A58" s="3" t="s">
        <v>1323</v>
      </c>
      <c r="B58" s="3" t="s">
        <v>1451</v>
      </c>
      <c r="C58" t="s">
        <v>1387</v>
      </c>
      <c r="D58"/>
      <c r="F58">
        <f t="shared" si="0"/>
        <v>0</v>
      </c>
      <c r="G58">
        <f t="shared" si="0"/>
        <v>0</v>
      </c>
    </row>
    <row r="59" spans="1:7" ht="64" x14ac:dyDescent="0.2">
      <c r="A59" s="3" t="s">
        <v>1324</v>
      </c>
      <c r="B59" s="3" t="s">
        <v>1452</v>
      </c>
      <c r="C59" t="s">
        <v>1128</v>
      </c>
      <c r="D59"/>
      <c r="F59">
        <f t="shared" si="0"/>
        <v>0</v>
      </c>
      <c r="G59">
        <f t="shared" si="0"/>
        <v>0</v>
      </c>
    </row>
    <row r="60" spans="1:7" ht="64" x14ac:dyDescent="0.2">
      <c r="A60" s="3" t="s">
        <v>1325</v>
      </c>
      <c r="B60" s="3" t="s">
        <v>1453</v>
      </c>
      <c r="C60" t="s">
        <v>145</v>
      </c>
      <c r="D60"/>
      <c r="F60">
        <f t="shared" si="0"/>
        <v>0</v>
      </c>
      <c r="G60">
        <f t="shared" si="0"/>
        <v>0</v>
      </c>
    </row>
    <row r="61" spans="1:7" ht="64" x14ac:dyDescent="0.2">
      <c r="A61" s="3" t="s">
        <v>1326</v>
      </c>
      <c r="B61" s="3" t="s">
        <v>1454</v>
      </c>
      <c r="C61" t="s">
        <v>15</v>
      </c>
      <c r="D61"/>
      <c r="F61">
        <f t="shared" si="0"/>
        <v>0</v>
      </c>
      <c r="G61">
        <f t="shared" si="0"/>
        <v>0</v>
      </c>
    </row>
    <row r="62" spans="1:7" ht="64" x14ac:dyDescent="0.2">
      <c r="A62" s="3" t="s">
        <v>1327</v>
      </c>
      <c r="B62" s="3" t="s">
        <v>1455</v>
      </c>
      <c r="C62" t="s">
        <v>11</v>
      </c>
      <c r="D62"/>
      <c r="F62">
        <f t="shared" si="0"/>
        <v>0</v>
      </c>
      <c r="G62">
        <f t="shared" si="0"/>
        <v>0</v>
      </c>
    </row>
    <row r="63" spans="1:7" ht="64" x14ac:dyDescent="0.2">
      <c r="A63" s="3" t="s">
        <v>1328</v>
      </c>
      <c r="B63" s="3" t="s">
        <v>1456</v>
      </c>
      <c r="C63" t="s">
        <v>132</v>
      </c>
      <c r="D63"/>
      <c r="F63">
        <f t="shared" si="0"/>
        <v>0</v>
      </c>
      <c r="G63">
        <f t="shared" si="0"/>
        <v>0</v>
      </c>
    </row>
    <row r="64" spans="1:7" ht="80" x14ac:dyDescent="0.2">
      <c r="A64" s="3" t="s">
        <v>1329</v>
      </c>
      <c r="B64" s="3" t="s">
        <v>1457</v>
      </c>
      <c r="C64" t="s">
        <v>285</v>
      </c>
      <c r="D64"/>
      <c r="F64">
        <f t="shared" si="0"/>
        <v>0</v>
      </c>
      <c r="G64">
        <f t="shared" si="0"/>
        <v>0</v>
      </c>
    </row>
    <row r="65" spans="1:7" ht="64" x14ac:dyDescent="0.2">
      <c r="A65" s="3" t="s">
        <v>1330</v>
      </c>
      <c r="B65" s="3" t="s">
        <v>1458</v>
      </c>
      <c r="C65" t="s">
        <v>122</v>
      </c>
      <c r="D65"/>
      <c r="F65">
        <f t="shared" si="0"/>
        <v>0</v>
      </c>
      <c r="G65">
        <f t="shared" si="0"/>
        <v>0</v>
      </c>
    </row>
    <row r="66" spans="1:7" ht="64" x14ac:dyDescent="0.2">
      <c r="A66" s="3" t="s">
        <v>1331</v>
      </c>
      <c r="B66" s="3" t="s">
        <v>1459</v>
      </c>
      <c r="C66" t="s">
        <v>97</v>
      </c>
      <c r="D66"/>
      <c r="F66">
        <f t="shared" si="0"/>
        <v>0</v>
      </c>
      <c r="G66">
        <f t="shared" si="0"/>
        <v>0</v>
      </c>
    </row>
    <row r="67" spans="1:7" ht="48" x14ac:dyDescent="0.2">
      <c r="A67" s="3" t="s">
        <v>1332</v>
      </c>
      <c r="B67" s="3" t="s">
        <v>1460</v>
      </c>
      <c r="C67" t="s">
        <v>1388</v>
      </c>
      <c r="D67"/>
      <c r="F67">
        <f t="shared" ref="F67:G101" si="1">IF(D67="",0,1)</f>
        <v>0</v>
      </c>
      <c r="G67">
        <f t="shared" si="1"/>
        <v>0</v>
      </c>
    </row>
    <row r="68" spans="1:7" ht="64" x14ac:dyDescent="0.2">
      <c r="A68" s="3" t="s">
        <v>1333</v>
      </c>
      <c r="B68" s="3" t="s">
        <v>1461</v>
      </c>
      <c r="C68" t="s">
        <v>276</v>
      </c>
      <c r="D68"/>
      <c r="F68">
        <f t="shared" si="1"/>
        <v>0</v>
      </c>
      <c r="G68">
        <f t="shared" si="1"/>
        <v>0</v>
      </c>
    </row>
    <row r="69" spans="1:7" ht="64" x14ac:dyDescent="0.2">
      <c r="A69" s="3" t="s">
        <v>1334</v>
      </c>
      <c r="B69" s="3" t="s">
        <v>1462</v>
      </c>
      <c r="C69" t="s">
        <v>158</v>
      </c>
      <c r="D69"/>
      <c r="F69">
        <f t="shared" si="1"/>
        <v>0</v>
      </c>
      <c r="G69">
        <f t="shared" si="1"/>
        <v>0</v>
      </c>
    </row>
    <row r="70" spans="1:7" ht="64" x14ac:dyDescent="0.2">
      <c r="A70" s="3" t="s">
        <v>1335</v>
      </c>
      <c r="B70" s="3" t="s">
        <v>1463</v>
      </c>
      <c r="C70" t="s">
        <v>1389</v>
      </c>
      <c r="D70"/>
      <c r="F70">
        <f t="shared" si="1"/>
        <v>0</v>
      </c>
      <c r="G70">
        <f t="shared" si="1"/>
        <v>0</v>
      </c>
    </row>
    <row r="71" spans="1:7" ht="48" x14ac:dyDescent="0.2">
      <c r="A71" s="3" t="s">
        <v>1336</v>
      </c>
      <c r="B71" s="3" t="s">
        <v>1464</v>
      </c>
      <c r="C71" t="s">
        <v>1390</v>
      </c>
      <c r="D71"/>
      <c r="F71">
        <f t="shared" si="1"/>
        <v>0</v>
      </c>
      <c r="G71">
        <f t="shared" si="1"/>
        <v>0</v>
      </c>
    </row>
    <row r="72" spans="1:7" ht="96" x14ac:dyDescent="0.2">
      <c r="A72" s="3" t="s">
        <v>1337</v>
      </c>
      <c r="B72" s="3" t="s">
        <v>1465</v>
      </c>
      <c r="C72" t="s">
        <v>1391</v>
      </c>
      <c r="D72"/>
      <c r="F72">
        <f t="shared" si="1"/>
        <v>0</v>
      </c>
      <c r="G72">
        <f t="shared" si="1"/>
        <v>0</v>
      </c>
    </row>
    <row r="73" spans="1:7" ht="64" x14ac:dyDescent="0.2">
      <c r="A73" s="3" t="s">
        <v>1338</v>
      </c>
      <c r="B73" s="3" t="s">
        <v>1466</v>
      </c>
      <c r="C73" t="s">
        <v>83</v>
      </c>
      <c r="D73"/>
      <c r="F73">
        <f t="shared" si="1"/>
        <v>0</v>
      </c>
      <c r="G73">
        <f t="shared" si="1"/>
        <v>0</v>
      </c>
    </row>
    <row r="74" spans="1:7" ht="64" x14ac:dyDescent="0.2">
      <c r="A74" s="3" t="s">
        <v>1339</v>
      </c>
      <c r="B74" s="3" t="s">
        <v>1467</v>
      </c>
      <c r="C74" t="s">
        <v>144</v>
      </c>
      <c r="D74"/>
      <c r="F74">
        <f t="shared" si="1"/>
        <v>0</v>
      </c>
      <c r="G74">
        <f t="shared" si="1"/>
        <v>0</v>
      </c>
    </row>
    <row r="75" spans="1:7" ht="64" x14ac:dyDescent="0.2">
      <c r="A75" s="3" t="s">
        <v>1340</v>
      </c>
      <c r="B75" s="3" t="s">
        <v>1468</v>
      </c>
      <c r="C75" t="s">
        <v>114</v>
      </c>
      <c r="D75"/>
      <c r="F75">
        <f t="shared" si="1"/>
        <v>0</v>
      </c>
      <c r="G75">
        <f t="shared" si="1"/>
        <v>0</v>
      </c>
    </row>
    <row r="76" spans="1:7" ht="80" x14ac:dyDescent="0.2">
      <c r="A76" s="3" t="s">
        <v>1341</v>
      </c>
      <c r="B76" s="3" t="s">
        <v>1499</v>
      </c>
      <c r="C76" t="s">
        <v>1392</v>
      </c>
      <c r="D76"/>
      <c r="E76" t="s">
        <v>87</v>
      </c>
      <c r="F76">
        <f t="shared" si="1"/>
        <v>0</v>
      </c>
      <c r="G76">
        <f t="shared" si="1"/>
        <v>1</v>
      </c>
    </row>
    <row r="77" spans="1:7" ht="64" x14ac:dyDescent="0.2">
      <c r="A77" s="3" t="s">
        <v>1342</v>
      </c>
      <c r="B77" s="3" t="s">
        <v>1498</v>
      </c>
      <c r="C77" t="s">
        <v>15</v>
      </c>
      <c r="D77"/>
      <c r="F77">
        <f t="shared" si="1"/>
        <v>0</v>
      </c>
      <c r="G77">
        <f t="shared" si="1"/>
        <v>0</v>
      </c>
    </row>
    <row r="78" spans="1:7" ht="48" x14ac:dyDescent="0.2">
      <c r="A78" s="3" t="s">
        <v>1343</v>
      </c>
      <c r="B78" s="3" t="s">
        <v>1469</v>
      </c>
      <c r="C78" t="s">
        <v>114</v>
      </c>
      <c r="D78"/>
      <c r="F78">
        <f t="shared" si="1"/>
        <v>0</v>
      </c>
      <c r="G78">
        <f t="shared" si="1"/>
        <v>0</v>
      </c>
    </row>
    <row r="79" spans="1:7" ht="64" x14ac:dyDescent="0.2">
      <c r="A79" s="3" t="s">
        <v>1344</v>
      </c>
      <c r="B79" s="3" t="s">
        <v>1496</v>
      </c>
      <c r="C79" t="s">
        <v>289</v>
      </c>
      <c r="D79"/>
      <c r="F79">
        <f t="shared" si="1"/>
        <v>0</v>
      </c>
      <c r="G79">
        <f t="shared" si="1"/>
        <v>0</v>
      </c>
    </row>
    <row r="80" spans="1:7" ht="64" x14ac:dyDescent="0.2">
      <c r="A80" s="3" t="s">
        <v>1345</v>
      </c>
      <c r="B80" s="7" t="s">
        <v>1470</v>
      </c>
      <c r="C80" t="s">
        <v>162</v>
      </c>
      <c r="D80"/>
      <c r="F80">
        <f t="shared" si="1"/>
        <v>0</v>
      </c>
      <c r="G80">
        <f t="shared" si="1"/>
        <v>0</v>
      </c>
    </row>
    <row r="81" spans="1:7" ht="64" x14ac:dyDescent="0.2">
      <c r="A81" s="3" t="s">
        <v>1346</v>
      </c>
      <c r="B81" s="7" t="s">
        <v>1471</v>
      </c>
      <c r="C81" t="s">
        <v>1393</v>
      </c>
      <c r="D81"/>
      <c r="F81">
        <f t="shared" si="1"/>
        <v>0</v>
      </c>
      <c r="G81">
        <f t="shared" si="1"/>
        <v>0</v>
      </c>
    </row>
    <row r="82" spans="1:7" ht="64" x14ac:dyDescent="0.2">
      <c r="A82" s="3" t="s">
        <v>1347</v>
      </c>
      <c r="B82" s="7" t="s">
        <v>1472</v>
      </c>
      <c r="C82" t="s">
        <v>12</v>
      </c>
      <c r="D82"/>
      <c r="F82">
        <f t="shared" si="1"/>
        <v>0</v>
      </c>
      <c r="G82">
        <f t="shared" si="1"/>
        <v>0</v>
      </c>
    </row>
    <row r="83" spans="1:7" ht="80" x14ac:dyDescent="0.2">
      <c r="A83" s="3" t="s">
        <v>1348</v>
      </c>
      <c r="B83" s="7" t="s">
        <v>1473</v>
      </c>
      <c r="C83" t="s">
        <v>83</v>
      </c>
      <c r="D83"/>
      <c r="F83">
        <f t="shared" si="1"/>
        <v>0</v>
      </c>
      <c r="G83">
        <f t="shared" si="1"/>
        <v>0</v>
      </c>
    </row>
    <row r="84" spans="1:7" ht="64" x14ac:dyDescent="0.2">
      <c r="A84" s="3" t="s">
        <v>1349</v>
      </c>
      <c r="B84" s="7" t="s">
        <v>1474</v>
      </c>
      <c r="C84" t="s">
        <v>1394</v>
      </c>
      <c r="D84"/>
      <c r="F84">
        <f t="shared" si="1"/>
        <v>0</v>
      </c>
      <c r="G84">
        <f t="shared" si="1"/>
        <v>0</v>
      </c>
    </row>
    <row r="85" spans="1:7" ht="80" x14ac:dyDescent="0.2">
      <c r="A85" s="3" t="s">
        <v>1350</v>
      </c>
      <c r="B85" s="7" t="s">
        <v>1475</v>
      </c>
      <c r="C85" t="s">
        <v>1395</v>
      </c>
      <c r="D85"/>
      <c r="F85">
        <f t="shared" si="1"/>
        <v>0</v>
      </c>
      <c r="G85">
        <f t="shared" si="1"/>
        <v>0</v>
      </c>
    </row>
    <row r="86" spans="1:7" ht="64" x14ac:dyDescent="0.2">
      <c r="A86" s="3" t="s">
        <v>1351</v>
      </c>
      <c r="B86" s="7" t="s">
        <v>1476</v>
      </c>
      <c r="C86" t="s">
        <v>2</v>
      </c>
      <c r="D86"/>
      <c r="F86">
        <f t="shared" si="1"/>
        <v>0</v>
      </c>
      <c r="G86">
        <f t="shared" si="1"/>
        <v>0</v>
      </c>
    </row>
    <row r="87" spans="1:7" ht="64" x14ac:dyDescent="0.2">
      <c r="A87" s="3" t="s">
        <v>1352</v>
      </c>
      <c r="B87" s="7" t="s">
        <v>1477</v>
      </c>
      <c r="C87" t="s">
        <v>1150</v>
      </c>
      <c r="D87"/>
      <c r="F87">
        <f t="shared" si="1"/>
        <v>0</v>
      </c>
      <c r="G87">
        <f t="shared" si="1"/>
        <v>0</v>
      </c>
    </row>
    <row r="88" spans="1:7" ht="64" x14ac:dyDescent="0.2">
      <c r="A88" s="3" t="s">
        <v>1353</v>
      </c>
      <c r="B88" s="7" t="s">
        <v>1478</v>
      </c>
      <c r="C88" t="s">
        <v>74</v>
      </c>
      <c r="D88"/>
      <c r="F88">
        <f t="shared" si="1"/>
        <v>0</v>
      </c>
      <c r="G88">
        <f t="shared" si="1"/>
        <v>0</v>
      </c>
    </row>
    <row r="89" spans="1:7" ht="64" x14ac:dyDescent="0.2">
      <c r="A89" s="3" t="s">
        <v>1354</v>
      </c>
      <c r="B89" s="7" t="s">
        <v>1479</v>
      </c>
      <c r="C89" t="s">
        <v>30</v>
      </c>
      <c r="D89"/>
      <c r="F89">
        <f t="shared" si="1"/>
        <v>0</v>
      </c>
      <c r="G89">
        <f t="shared" si="1"/>
        <v>0</v>
      </c>
    </row>
    <row r="90" spans="1:7" ht="48" x14ac:dyDescent="0.2">
      <c r="A90" s="3" t="s">
        <v>1355</v>
      </c>
      <c r="B90" s="7" t="s">
        <v>1480</v>
      </c>
      <c r="C90" t="s">
        <v>284</v>
      </c>
      <c r="D90"/>
      <c r="F90">
        <f t="shared" si="1"/>
        <v>0</v>
      </c>
      <c r="G90">
        <f t="shared" si="1"/>
        <v>0</v>
      </c>
    </row>
    <row r="91" spans="1:7" ht="64" x14ac:dyDescent="0.2">
      <c r="A91" s="3" t="s">
        <v>1356</v>
      </c>
      <c r="B91" s="7" t="s">
        <v>1481</v>
      </c>
      <c r="C91" t="s">
        <v>11</v>
      </c>
      <c r="D91"/>
      <c r="F91">
        <f t="shared" si="1"/>
        <v>0</v>
      </c>
      <c r="G91">
        <f t="shared" si="1"/>
        <v>0</v>
      </c>
    </row>
    <row r="92" spans="1:7" ht="64" x14ac:dyDescent="0.2">
      <c r="A92" s="3" t="s">
        <v>1357</v>
      </c>
      <c r="B92" s="7" t="s">
        <v>1482</v>
      </c>
      <c r="C92" t="s">
        <v>122</v>
      </c>
      <c r="D92"/>
      <c r="F92">
        <f t="shared" si="1"/>
        <v>0</v>
      </c>
      <c r="G92">
        <f t="shared" si="1"/>
        <v>0</v>
      </c>
    </row>
    <row r="93" spans="1:7" ht="64" x14ac:dyDescent="0.2">
      <c r="A93" s="3" t="s">
        <v>1358</v>
      </c>
      <c r="B93" s="7" t="s">
        <v>1483</v>
      </c>
      <c r="C93" t="s">
        <v>125</v>
      </c>
      <c r="D93"/>
      <c r="F93">
        <f t="shared" si="1"/>
        <v>0</v>
      </c>
      <c r="G93">
        <f t="shared" si="1"/>
        <v>0</v>
      </c>
    </row>
    <row r="94" spans="1:7" ht="80" x14ac:dyDescent="0.2">
      <c r="A94" s="3" t="s">
        <v>1359</v>
      </c>
      <c r="B94" s="7" t="s">
        <v>1484</v>
      </c>
      <c r="C94" t="s">
        <v>42</v>
      </c>
      <c r="D94"/>
      <c r="F94">
        <f t="shared" si="1"/>
        <v>0</v>
      </c>
      <c r="G94">
        <f t="shared" si="1"/>
        <v>0</v>
      </c>
    </row>
    <row r="95" spans="1:7" ht="64" x14ac:dyDescent="0.2">
      <c r="A95" s="3" t="s">
        <v>1360</v>
      </c>
      <c r="B95" s="7" t="s">
        <v>1485</v>
      </c>
      <c r="C95" t="s">
        <v>62</v>
      </c>
      <c r="D95"/>
      <c r="F95">
        <f t="shared" si="1"/>
        <v>0</v>
      </c>
      <c r="G95">
        <f t="shared" si="1"/>
        <v>0</v>
      </c>
    </row>
    <row r="96" spans="1:7" ht="64" x14ac:dyDescent="0.2">
      <c r="A96" s="3" t="s">
        <v>1361</v>
      </c>
      <c r="B96" s="7" t="s">
        <v>1486</v>
      </c>
      <c r="C96" t="s">
        <v>1396</v>
      </c>
      <c r="D96"/>
      <c r="F96">
        <f t="shared" si="1"/>
        <v>0</v>
      </c>
      <c r="G96">
        <f t="shared" si="1"/>
        <v>0</v>
      </c>
    </row>
    <row r="97" spans="1:7" ht="64" x14ac:dyDescent="0.2">
      <c r="A97" s="3" t="s">
        <v>1362</v>
      </c>
      <c r="B97" s="7" t="s">
        <v>1487</v>
      </c>
      <c r="C97" t="s">
        <v>62</v>
      </c>
      <c r="D97" t="s">
        <v>48</v>
      </c>
      <c r="F97">
        <f t="shared" si="1"/>
        <v>1</v>
      </c>
      <c r="G97">
        <f t="shared" si="1"/>
        <v>0</v>
      </c>
    </row>
    <row r="98" spans="1:7" ht="64" x14ac:dyDescent="0.2">
      <c r="A98" s="3" t="s">
        <v>1363</v>
      </c>
      <c r="B98" s="7" t="s">
        <v>1488</v>
      </c>
      <c r="C98" t="s">
        <v>123</v>
      </c>
      <c r="D98"/>
      <c r="F98">
        <f t="shared" si="1"/>
        <v>0</v>
      </c>
      <c r="G98">
        <f t="shared" si="1"/>
        <v>0</v>
      </c>
    </row>
    <row r="99" spans="1:7" ht="64" x14ac:dyDescent="0.2">
      <c r="A99" s="3" t="s">
        <v>1364</v>
      </c>
      <c r="B99" s="7" t="s">
        <v>1489</v>
      </c>
      <c r="C99" t="s">
        <v>187</v>
      </c>
      <c r="D99"/>
      <c r="F99">
        <f t="shared" si="1"/>
        <v>0</v>
      </c>
      <c r="G99">
        <f t="shared" si="1"/>
        <v>0</v>
      </c>
    </row>
    <row r="100" spans="1:7" ht="48" x14ac:dyDescent="0.2">
      <c r="A100" s="3" t="s">
        <v>1365</v>
      </c>
      <c r="B100" s="7" t="s">
        <v>1490</v>
      </c>
      <c r="C100" t="s">
        <v>1397</v>
      </c>
      <c r="D100"/>
      <c r="E100" t="s">
        <v>119</v>
      </c>
      <c r="F100">
        <f t="shared" si="1"/>
        <v>0</v>
      </c>
      <c r="G100">
        <f t="shared" si="1"/>
        <v>1</v>
      </c>
    </row>
    <row r="101" spans="1:7" ht="64" x14ac:dyDescent="0.2">
      <c r="A101" s="3" t="s">
        <v>1366</v>
      </c>
      <c r="B101" s="7" t="s">
        <v>1491</v>
      </c>
      <c r="C101" t="s">
        <v>1398</v>
      </c>
      <c r="D101"/>
      <c r="F101">
        <f t="shared" si="1"/>
        <v>0</v>
      </c>
      <c r="G101">
        <f t="shared" si="1"/>
        <v>0</v>
      </c>
    </row>
    <row r="103" spans="1:7" x14ac:dyDescent="0.2">
      <c r="F103" s="10">
        <f>SUM(F2:F101)</f>
        <v>5</v>
      </c>
      <c r="G103" s="10">
        <f>SUM(G2:G101)</f>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C35A5-102A-B941-BAA7-267A1212163E}">
  <dimension ref="A1:G103"/>
  <sheetViews>
    <sheetView topLeftCell="A93" zoomScale="160" zoomScaleNormal="160" workbookViewId="0">
      <selection activeCell="D102" sqref="D102"/>
    </sheetView>
  </sheetViews>
  <sheetFormatPr baseColWidth="10" defaultRowHeight="15" x14ac:dyDescent="0.2"/>
  <cols>
    <col min="1" max="1" width="39.5" style="3" customWidth="1"/>
    <col min="2" max="2" width="56.1640625" style="7" customWidth="1"/>
    <col min="3" max="3" width="8.83203125"/>
    <col min="4" max="4" width="15.1640625" style="9" customWidth="1"/>
    <col min="5" max="5" width="13.33203125" customWidth="1"/>
  </cols>
  <sheetData>
    <row r="1" spans="1:7" ht="16" x14ac:dyDescent="0.2">
      <c r="A1" s="2" t="s">
        <v>0</v>
      </c>
      <c r="B1" s="6" t="s">
        <v>101</v>
      </c>
      <c r="C1" s="1" t="s">
        <v>1</v>
      </c>
      <c r="D1" s="8" t="s">
        <v>44</v>
      </c>
      <c r="E1" s="1" t="s">
        <v>45</v>
      </c>
      <c r="F1" s="1" t="s">
        <v>44</v>
      </c>
      <c r="G1" s="1" t="s">
        <v>45</v>
      </c>
    </row>
    <row r="2" spans="1:7" ht="48" x14ac:dyDescent="0.2">
      <c r="A2" s="3" t="s">
        <v>1500</v>
      </c>
      <c r="B2" s="3" t="s">
        <v>1631</v>
      </c>
      <c r="C2" t="s">
        <v>1600</v>
      </c>
      <c r="D2"/>
      <c r="F2">
        <f>IF(D2="",0,1)</f>
        <v>0</v>
      </c>
      <c r="G2">
        <f>IF(E2="",0,1)</f>
        <v>0</v>
      </c>
    </row>
    <row r="3" spans="1:7" ht="64" x14ac:dyDescent="0.2">
      <c r="A3" s="3" t="s">
        <v>1501</v>
      </c>
      <c r="B3" s="3" t="s">
        <v>1632</v>
      </c>
      <c r="C3" t="s">
        <v>1601</v>
      </c>
      <c r="D3"/>
      <c r="F3">
        <f t="shared" ref="F3:G66" si="0">IF(D3="",0,1)</f>
        <v>0</v>
      </c>
      <c r="G3">
        <f t="shared" si="0"/>
        <v>0</v>
      </c>
    </row>
    <row r="4" spans="1:7" ht="32" x14ac:dyDescent="0.2">
      <c r="A4" s="3" t="s">
        <v>1502</v>
      </c>
      <c r="B4" s="3" t="s">
        <v>1633</v>
      </c>
      <c r="C4" t="s">
        <v>96</v>
      </c>
      <c r="D4"/>
      <c r="F4">
        <f t="shared" si="0"/>
        <v>0</v>
      </c>
      <c r="G4">
        <f t="shared" si="0"/>
        <v>0</v>
      </c>
    </row>
    <row r="5" spans="1:7" ht="48" x14ac:dyDescent="0.2">
      <c r="A5" s="3" t="s">
        <v>1503</v>
      </c>
      <c r="B5" s="3" t="s">
        <v>1634</v>
      </c>
      <c r="C5" t="s">
        <v>13</v>
      </c>
      <c r="D5"/>
      <c r="F5">
        <f t="shared" si="0"/>
        <v>0</v>
      </c>
      <c r="G5">
        <f t="shared" si="0"/>
        <v>0</v>
      </c>
    </row>
    <row r="6" spans="1:7" ht="32" x14ac:dyDescent="0.2">
      <c r="A6" s="3" t="s">
        <v>1504</v>
      </c>
      <c r="B6" s="3" t="s">
        <v>1635</v>
      </c>
      <c r="C6" t="s">
        <v>1602</v>
      </c>
      <c r="D6"/>
      <c r="F6">
        <f t="shared" si="0"/>
        <v>0</v>
      </c>
      <c r="G6">
        <f t="shared" si="0"/>
        <v>0</v>
      </c>
    </row>
    <row r="7" spans="1:7" ht="32" x14ac:dyDescent="0.2">
      <c r="A7" s="3" t="s">
        <v>1505</v>
      </c>
      <c r="B7" s="3" t="s">
        <v>1636</v>
      </c>
      <c r="C7" t="s">
        <v>1603</v>
      </c>
      <c r="D7"/>
      <c r="F7">
        <f t="shared" si="0"/>
        <v>0</v>
      </c>
      <c r="G7">
        <f t="shared" si="0"/>
        <v>0</v>
      </c>
    </row>
    <row r="8" spans="1:7" ht="48" x14ac:dyDescent="0.2">
      <c r="A8" s="3" t="s">
        <v>1506</v>
      </c>
      <c r="B8" s="3" t="s">
        <v>1637</v>
      </c>
      <c r="C8" t="s">
        <v>10</v>
      </c>
      <c r="D8"/>
      <c r="F8">
        <f t="shared" si="0"/>
        <v>0</v>
      </c>
      <c r="G8">
        <f t="shared" si="0"/>
        <v>0</v>
      </c>
    </row>
    <row r="9" spans="1:7" ht="32" x14ac:dyDescent="0.2">
      <c r="A9" s="3" t="s">
        <v>1507</v>
      </c>
      <c r="B9" s="3" t="s">
        <v>1638</v>
      </c>
      <c r="C9" t="s">
        <v>108</v>
      </c>
      <c r="D9"/>
      <c r="F9">
        <f t="shared" si="0"/>
        <v>0</v>
      </c>
      <c r="G9">
        <f t="shared" si="0"/>
        <v>0</v>
      </c>
    </row>
    <row r="10" spans="1:7" ht="48" x14ac:dyDescent="0.2">
      <c r="A10" s="3" t="s">
        <v>1508</v>
      </c>
      <c r="B10" s="3" t="s">
        <v>1639</v>
      </c>
      <c r="C10" t="s">
        <v>1604</v>
      </c>
      <c r="D10"/>
      <c r="F10">
        <f t="shared" si="0"/>
        <v>0</v>
      </c>
      <c r="G10">
        <f t="shared" si="0"/>
        <v>0</v>
      </c>
    </row>
    <row r="11" spans="1:7" ht="32" x14ac:dyDescent="0.2">
      <c r="A11" s="3" t="s">
        <v>1509</v>
      </c>
      <c r="B11" s="3" t="s">
        <v>1640</v>
      </c>
      <c r="C11" t="s">
        <v>1128</v>
      </c>
      <c r="D11"/>
      <c r="F11">
        <f t="shared" si="0"/>
        <v>0</v>
      </c>
      <c r="G11">
        <f t="shared" si="0"/>
        <v>0</v>
      </c>
    </row>
    <row r="12" spans="1:7" ht="48" x14ac:dyDescent="0.2">
      <c r="A12" s="3" t="s">
        <v>1510</v>
      </c>
      <c r="B12" s="3" t="s">
        <v>1641</v>
      </c>
      <c r="C12" t="s">
        <v>1605</v>
      </c>
      <c r="D12"/>
      <c r="F12">
        <f t="shared" si="0"/>
        <v>0</v>
      </c>
      <c r="G12">
        <f t="shared" si="0"/>
        <v>0</v>
      </c>
    </row>
    <row r="13" spans="1:7" ht="32" x14ac:dyDescent="0.2">
      <c r="A13" s="3" t="s">
        <v>1511</v>
      </c>
      <c r="B13" s="3" t="s">
        <v>1642</v>
      </c>
      <c r="C13" t="s">
        <v>64</v>
      </c>
      <c r="D13"/>
      <c r="F13">
        <f t="shared" si="0"/>
        <v>0</v>
      </c>
      <c r="G13">
        <f t="shared" si="0"/>
        <v>0</v>
      </c>
    </row>
    <row r="14" spans="1:7" ht="48" x14ac:dyDescent="0.2">
      <c r="A14" s="3" t="s">
        <v>1512</v>
      </c>
      <c r="B14" s="3" t="s">
        <v>1643</v>
      </c>
      <c r="C14" t="s">
        <v>1606</v>
      </c>
      <c r="D14"/>
      <c r="F14">
        <f t="shared" si="0"/>
        <v>0</v>
      </c>
      <c r="G14">
        <f t="shared" si="0"/>
        <v>0</v>
      </c>
    </row>
    <row r="15" spans="1:7" ht="32" x14ac:dyDescent="0.2">
      <c r="A15" s="3" t="s">
        <v>1513</v>
      </c>
      <c r="B15" s="3" t="s">
        <v>1644</v>
      </c>
      <c r="C15" t="s">
        <v>1607</v>
      </c>
      <c r="D15" t="s">
        <v>88</v>
      </c>
      <c r="F15">
        <f t="shared" si="0"/>
        <v>1</v>
      </c>
      <c r="G15">
        <f t="shared" si="0"/>
        <v>0</v>
      </c>
    </row>
    <row r="16" spans="1:7" ht="48" x14ac:dyDescent="0.2">
      <c r="A16" s="3" t="s">
        <v>1514</v>
      </c>
      <c r="B16" s="3" t="s">
        <v>1645</v>
      </c>
      <c r="C16" t="s">
        <v>239</v>
      </c>
      <c r="D16"/>
      <c r="F16">
        <f t="shared" si="0"/>
        <v>0</v>
      </c>
      <c r="G16">
        <f t="shared" si="0"/>
        <v>0</v>
      </c>
    </row>
    <row r="17" spans="1:7" ht="32" x14ac:dyDescent="0.2">
      <c r="A17" s="3" t="s">
        <v>1515</v>
      </c>
      <c r="B17" s="3" t="s">
        <v>1646</v>
      </c>
      <c r="C17" t="s">
        <v>19</v>
      </c>
      <c r="D17"/>
      <c r="F17">
        <f t="shared" si="0"/>
        <v>0</v>
      </c>
      <c r="G17">
        <f t="shared" si="0"/>
        <v>0</v>
      </c>
    </row>
    <row r="18" spans="1:7" ht="48" x14ac:dyDescent="0.2">
      <c r="A18" s="3" t="s">
        <v>1516</v>
      </c>
      <c r="B18" s="3" t="s">
        <v>1647</v>
      </c>
      <c r="C18" t="s">
        <v>106</v>
      </c>
      <c r="D18"/>
      <c r="F18">
        <f t="shared" si="0"/>
        <v>0</v>
      </c>
      <c r="G18">
        <f t="shared" si="0"/>
        <v>0</v>
      </c>
    </row>
    <row r="19" spans="1:7" ht="48" x14ac:dyDescent="0.2">
      <c r="A19" s="3" t="s">
        <v>1517</v>
      </c>
      <c r="B19" s="3" t="s">
        <v>1648</v>
      </c>
      <c r="C19" t="s">
        <v>111</v>
      </c>
      <c r="D19" t="s">
        <v>118</v>
      </c>
      <c r="F19">
        <f t="shared" si="0"/>
        <v>1</v>
      </c>
      <c r="G19">
        <f t="shared" si="0"/>
        <v>0</v>
      </c>
    </row>
    <row r="20" spans="1:7" ht="48" x14ac:dyDescent="0.2">
      <c r="A20" s="3" t="s">
        <v>1518</v>
      </c>
      <c r="B20" s="3" t="s">
        <v>1649</v>
      </c>
      <c r="C20" t="s">
        <v>1608</v>
      </c>
      <c r="D20"/>
      <c r="F20">
        <f t="shared" si="0"/>
        <v>0</v>
      </c>
      <c r="G20">
        <f t="shared" si="0"/>
        <v>0</v>
      </c>
    </row>
    <row r="21" spans="1:7" ht="32" x14ac:dyDescent="0.2">
      <c r="A21" s="3" t="s">
        <v>1519</v>
      </c>
      <c r="B21" s="3" t="s">
        <v>1650</v>
      </c>
      <c r="C21" t="s">
        <v>1609</v>
      </c>
      <c r="D21"/>
      <c r="F21">
        <f t="shared" si="0"/>
        <v>0</v>
      </c>
      <c r="G21">
        <f t="shared" si="0"/>
        <v>0</v>
      </c>
    </row>
    <row r="22" spans="1:7" ht="48" x14ac:dyDescent="0.2">
      <c r="A22" s="3" t="s">
        <v>1520</v>
      </c>
      <c r="B22" s="3" t="s">
        <v>1651</v>
      </c>
      <c r="C22" t="s">
        <v>99</v>
      </c>
      <c r="D22"/>
      <c r="F22">
        <f t="shared" si="0"/>
        <v>0</v>
      </c>
      <c r="G22">
        <f t="shared" si="0"/>
        <v>0</v>
      </c>
    </row>
    <row r="23" spans="1:7" ht="32" x14ac:dyDescent="0.2">
      <c r="A23" s="3" t="s">
        <v>1521</v>
      </c>
      <c r="B23" s="3" t="s">
        <v>1652</v>
      </c>
      <c r="C23" t="s">
        <v>105</v>
      </c>
      <c r="D23"/>
      <c r="F23">
        <f t="shared" si="0"/>
        <v>0</v>
      </c>
      <c r="G23">
        <f t="shared" si="0"/>
        <v>0</v>
      </c>
    </row>
    <row r="24" spans="1:7" ht="48" x14ac:dyDescent="0.2">
      <c r="A24" s="3" t="s">
        <v>1522</v>
      </c>
      <c r="B24" s="3" t="s">
        <v>1653</v>
      </c>
      <c r="C24" t="s">
        <v>20</v>
      </c>
      <c r="D24"/>
      <c r="F24">
        <f t="shared" si="0"/>
        <v>0</v>
      </c>
      <c r="G24">
        <f t="shared" si="0"/>
        <v>0</v>
      </c>
    </row>
    <row r="25" spans="1:7" ht="48" x14ac:dyDescent="0.2">
      <c r="A25" s="3" t="s">
        <v>1523</v>
      </c>
      <c r="B25" s="3" t="s">
        <v>1654</v>
      </c>
      <c r="C25" t="s">
        <v>96</v>
      </c>
      <c r="D25"/>
      <c r="F25">
        <f t="shared" si="0"/>
        <v>0</v>
      </c>
      <c r="G25">
        <f t="shared" si="0"/>
        <v>0</v>
      </c>
    </row>
    <row r="26" spans="1:7" ht="32" x14ac:dyDescent="0.2">
      <c r="A26" s="3" t="s">
        <v>1524</v>
      </c>
      <c r="B26" s="3" t="s">
        <v>1655</v>
      </c>
      <c r="C26" t="s">
        <v>1610</v>
      </c>
      <c r="D26"/>
      <c r="F26">
        <f t="shared" si="0"/>
        <v>0</v>
      </c>
      <c r="G26">
        <f t="shared" si="0"/>
        <v>0</v>
      </c>
    </row>
    <row r="27" spans="1:7" ht="32" x14ac:dyDescent="0.2">
      <c r="A27" s="3" t="s">
        <v>1525</v>
      </c>
      <c r="B27" s="3" t="s">
        <v>1656</v>
      </c>
      <c r="C27" t="s">
        <v>20</v>
      </c>
      <c r="D27"/>
      <c r="F27">
        <f t="shared" si="0"/>
        <v>0</v>
      </c>
      <c r="G27">
        <f t="shared" si="0"/>
        <v>0</v>
      </c>
    </row>
    <row r="28" spans="1:7" ht="32" x14ac:dyDescent="0.2">
      <c r="A28" s="3" t="s">
        <v>1526</v>
      </c>
      <c r="B28" s="3" t="s">
        <v>1657</v>
      </c>
      <c r="C28" t="s">
        <v>20</v>
      </c>
      <c r="D28"/>
      <c r="F28">
        <f t="shared" si="0"/>
        <v>0</v>
      </c>
      <c r="G28">
        <f t="shared" si="0"/>
        <v>0</v>
      </c>
    </row>
    <row r="29" spans="1:7" ht="48" x14ac:dyDescent="0.2">
      <c r="A29" s="3" t="s">
        <v>1527</v>
      </c>
      <c r="B29" s="3" t="s">
        <v>1658</v>
      </c>
      <c r="C29" t="s">
        <v>222</v>
      </c>
      <c r="D29"/>
      <c r="F29">
        <f t="shared" si="0"/>
        <v>0</v>
      </c>
      <c r="G29">
        <f t="shared" si="0"/>
        <v>0</v>
      </c>
    </row>
    <row r="30" spans="1:7" ht="48" x14ac:dyDescent="0.2">
      <c r="A30" s="3" t="s">
        <v>1528</v>
      </c>
      <c r="B30" s="3" t="s">
        <v>1659</v>
      </c>
      <c r="C30" t="s">
        <v>20</v>
      </c>
      <c r="D30"/>
      <c r="F30">
        <f t="shared" si="0"/>
        <v>0</v>
      </c>
      <c r="G30">
        <f t="shared" si="0"/>
        <v>0</v>
      </c>
    </row>
    <row r="31" spans="1:7" ht="48" x14ac:dyDescent="0.2">
      <c r="A31" s="3" t="s">
        <v>1529</v>
      </c>
      <c r="B31" s="3" t="s">
        <v>1660</v>
      </c>
      <c r="C31" t="s">
        <v>1611</v>
      </c>
      <c r="D31"/>
      <c r="F31">
        <f t="shared" si="0"/>
        <v>0</v>
      </c>
      <c r="G31">
        <f t="shared" si="0"/>
        <v>0</v>
      </c>
    </row>
    <row r="32" spans="1:7" ht="32" x14ac:dyDescent="0.2">
      <c r="A32" s="3" t="s">
        <v>1530</v>
      </c>
      <c r="B32" s="3" t="s">
        <v>1661</v>
      </c>
      <c r="C32" t="s">
        <v>84</v>
      </c>
      <c r="D32"/>
      <c r="F32">
        <f t="shared" si="0"/>
        <v>0</v>
      </c>
      <c r="G32">
        <f t="shared" si="0"/>
        <v>0</v>
      </c>
    </row>
    <row r="33" spans="1:7" ht="32" x14ac:dyDescent="0.2">
      <c r="A33" s="3" t="s">
        <v>1531</v>
      </c>
      <c r="B33" s="3" t="s">
        <v>1662</v>
      </c>
      <c r="C33" t="s">
        <v>112</v>
      </c>
      <c r="D33"/>
      <c r="F33">
        <f t="shared" si="0"/>
        <v>0</v>
      </c>
      <c r="G33">
        <f t="shared" si="0"/>
        <v>0</v>
      </c>
    </row>
    <row r="34" spans="1:7" ht="48" x14ac:dyDescent="0.2">
      <c r="A34" s="3" t="s">
        <v>1532</v>
      </c>
      <c r="B34" s="3" t="s">
        <v>1663</v>
      </c>
      <c r="C34" t="s">
        <v>113</v>
      </c>
      <c r="D34"/>
      <c r="F34">
        <f t="shared" si="0"/>
        <v>0</v>
      </c>
      <c r="G34">
        <f t="shared" si="0"/>
        <v>0</v>
      </c>
    </row>
    <row r="35" spans="1:7" ht="48" x14ac:dyDescent="0.2">
      <c r="A35" s="3" t="s">
        <v>1533</v>
      </c>
      <c r="B35" s="3" t="s">
        <v>1664</v>
      </c>
      <c r="C35" t="s">
        <v>113</v>
      </c>
      <c r="D35"/>
      <c r="F35">
        <f t="shared" si="0"/>
        <v>0</v>
      </c>
      <c r="G35">
        <f t="shared" si="0"/>
        <v>0</v>
      </c>
    </row>
    <row r="36" spans="1:7" ht="32" x14ac:dyDescent="0.2">
      <c r="A36" s="3" t="s">
        <v>1534</v>
      </c>
      <c r="B36" s="3" t="s">
        <v>1665</v>
      </c>
      <c r="C36" t="s">
        <v>1612</v>
      </c>
      <c r="D36"/>
      <c r="F36">
        <f t="shared" si="0"/>
        <v>0</v>
      </c>
      <c r="G36">
        <f t="shared" si="0"/>
        <v>0</v>
      </c>
    </row>
    <row r="37" spans="1:7" ht="64" x14ac:dyDescent="0.2">
      <c r="A37" s="3" t="s">
        <v>1535</v>
      </c>
      <c r="B37" s="3" t="s">
        <v>1666</v>
      </c>
      <c r="C37" t="s">
        <v>1613</v>
      </c>
      <c r="D37"/>
      <c r="F37">
        <f t="shared" si="0"/>
        <v>0</v>
      </c>
      <c r="G37">
        <f t="shared" si="0"/>
        <v>0</v>
      </c>
    </row>
    <row r="38" spans="1:7" ht="32" x14ac:dyDescent="0.2">
      <c r="A38" s="3" t="s">
        <v>1536</v>
      </c>
      <c r="B38" s="3" t="s">
        <v>1667</v>
      </c>
      <c r="C38" t="s">
        <v>98</v>
      </c>
      <c r="D38"/>
      <c r="F38">
        <f t="shared" si="0"/>
        <v>0</v>
      </c>
      <c r="G38">
        <f t="shared" si="0"/>
        <v>0</v>
      </c>
    </row>
    <row r="39" spans="1:7" ht="32" x14ac:dyDescent="0.2">
      <c r="A39" s="3" t="s">
        <v>1537</v>
      </c>
      <c r="B39" s="3" t="s">
        <v>1668</v>
      </c>
      <c r="C39" t="s">
        <v>94</v>
      </c>
      <c r="D39"/>
      <c r="F39">
        <f t="shared" si="0"/>
        <v>0</v>
      </c>
      <c r="G39">
        <f t="shared" si="0"/>
        <v>0</v>
      </c>
    </row>
    <row r="40" spans="1:7" ht="32" x14ac:dyDescent="0.2">
      <c r="A40" s="3" t="s">
        <v>1538</v>
      </c>
      <c r="B40" s="3" t="s">
        <v>1669</v>
      </c>
      <c r="C40" t="s">
        <v>128</v>
      </c>
      <c r="D40"/>
      <c r="F40">
        <f t="shared" si="0"/>
        <v>0</v>
      </c>
      <c r="G40">
        <f t="shared" si="0"/>
        <v>0</v>
      </c>
    </row>
    <row r="41" spans="1:7" ht="32" x14ac:dyDescent="0.2">
      <c r="A41" s="3" t="s">
        <v>1539</v>
      </c>
      <c r="B41" s="3" t="s">
        <v>1670</v>
      </c>
      <c r="C41" t="s">
        <v>70</v>
      </c>
      <c r="D41"/>
      <c r="F41">
        <f t="shared" si="0"/>
        <v>0</v>
      </c>
      <c r="G41">
        <f t="shared" si="0"/>
        <v>0</v>
      </c>
    </row>
    <row r="42" spans="1:7" ht="32" x14ac:dyDescent="0.2">
      <c r="A42" s="3" t="s">
        <v>1540</v>
      </c>
      <c r="B42" s="3" t="s">
        <v>1671</v>
      </c>
      <c r="C42" t="s">
        <v>70</v>
      </c>
      <c r="D42"/>
      <c r="F42">
        <f t="shared" si="0"/>
        <v>0</v>
      </c>
      <c r="G42">
        <f t="shared" si="0"/>
        <v>0</v>
      </c>
    </row>
    <row r="43" spans="1:7" ht="32" x14ac:dyDescent="0.2">
      <c r="A43" s="3" t="s">
        <v>1541</v>
      </c>
      <c r="B43" s="3" t="s">
        <v>1672</v>
      </c>
      <c r="C43" t="s">
        <v>1614</v>
      </c>
      <c r="D43"/>
      <c r="F43">
        <f t="shared" si="0"/>
        <v>0</v>
      </c>
      <c r="G43">
        <f t="shared" si="0"/>
        <v>0</v>
      </c>
    </row>
    <row r="44" spans="1:7" ht="32" x14ac:dyDescent="0.2">
      <c r="A44" s="3" t="s">
        <v>1542</v>
      </c>
      <c r="B44" s="3" t="s">
        <v>1673</v>
      </c>
      <c r="C44" t="s">
        <v>84</v>
      </c>
      <c r="D44"/>
      <c r="F44">
        <f t="shared" si="0"/>
        <v>0</v>
      </c>
      <c r="G44">
        <f t="shared" si="0"/>
        <v>0</v>
      </c>
    </row>
    <row r="45" spans="1:7" ht="48" x14ac:dyDescent="0.2">
      <c r="A45" s="3" t="s">
        <v>1543</v>
      </c>
      <c r="B45" s="3" t="s">
        <v>1674</v>
      </c>
      <c r="C45" t="s">
        <v>20</v>
      </c>
      <c r="D45"/>
      <c r="F45">
        <f t="shared" si="0"/>
        <v>0</v>
      </c>
      <c r="G45">
        <f t="shared" si="0"/>
        <v>0</v>
      </c>
    </row>
    <row r="46" spans="1:7" ht="48" x14ac:dyDescent="0.2">
      <c r="A46" s="3" t="s">
        <v>1544</v>
      </c>
      <c r="B46" s="3" t="s">
        <v>1675</v>
      </c>
      <c r="C46" t="s">
        <v>1615</v>
      </c>
      <c r="D46"/>
      <c r="F46">
        <f t="shared" si="0"/>
        <v>0</v>
      </c>
      <c r="G46">
        <f t="shared" si="0"/>
        <v>0</v>
      </c>
    </row>
    <row r="47" spans="1:7" ht="32" x14ac:dyDescent="0.2">
      <c r="A47" s="3" t="s">
        <v>1545</v>
      </c>
      <c r="B47" s="3" t="s">
        <v>1676</v>
      </c>
      <c r="C47" t="s">
        <v>20</v>
      </c>
      <c r="D47"/>
      <c r="F47">
        <f t="shared" si="0"/>
        <v>0</v>
      </c>
      <c r="G47">
        <f t="shared" si="0"/>
        <v>0</v>
      </c>
    </row>
    <row r="48" spans="1:7" ht="48" x14ac:dyDescent="0.2">
      <c r="A48" s="3" t="s">
        <v>1546</v>
      </c>
      <c r="B48" s="3" t="s">
        <v>1677</v>
      </c>
      <c r="C48" t="s">
        <v>1616</v>
      </c>
      <c r="D48"/>
      <c r="F48">
        <f t="shared" si="0"/>
        <v>0</v>
      </c>
      <c r="G48">
        <f t="shared" si="0"/>
        <v>0</v>
      </c>
    </row>
    <row r="49" spans="1:7" ht="32" x14ac:dyDescent="0.2">
      <c r="A49" s="3" t="s">
        <v>1547</v>
      </c>
      <c r="B49" s="3" t="s">
        <v>1678</v>
      </c>
      <c r="C49" t="s">
        <v>227</v>
      </c>
      <c r="D49"/>
      <c r="F49">
        <f t="shared" si="0"/>
        <v>0</v>
      </c>
      <c r="G49">
        <f t="shared" si="0"/>
        <v>0</v>
      </c>
    </row>
    <row r="50" spans="1:7" ht="48" x14ac:dyDescent="0.2">
      <c r="A50" s="3" t="s">
        <v>1548</v>
      </c>
      <c r="B50" s="3" t="s">
        <v>1679</v>
      </c>
      <c r="C50" t="s">
        <v>20</v>
      </c>
      <c r="D50"/>
      <c r="F50">
        <f t="shared" si="0"/>
        <v>0</v>
      </c>
      <c r="G50">
        <f t="shared" si="0"/>
        <v>0</v>
      </c>
    </row>
    <row r="51" spans="1:7" ht="48" x14ac:dyDescent="0.2">
      <c r="A51" s="3" t="s">
        <v>1549</v>
      </c>
      <c r="B51" s="3" t="s">
        <v>1680</v>
      </c>
      <c r="C51" t="s">
        <v>94</v>
      </c>
      <c r="D51"/>
      <c r="F51">
        <f t="shared" si="0"/>
        <v>0</v>
      </c>
      <c r="G51">
        <f t="shared" si="0"/>
        <v>0</v>
      </c>
    </row>
    <row r="52" spans="1:7" ht="48" x14ac:dyDescent="0.2">
      <c r="A52" s="3" t="s">
        <v>1550</v>
      </c>
      <c r="B52" s="3" t="s">
        <v>1681</v>
      </c>
      <c r="C52" t="s">
        <v>111</v>
      </c>
      <c r="D52"/>
      <c r="F52">
        <f t="shared" si="0"/>
        <v>0</v>
      </c>
      <c r="G52">
        <f t="shared" si="0"/>
        <v>0</v>
      </c>
    </row>
    <row r="53" spans="1:7" ht="32" x14ac:dyDescent="0.2">
      <c r="A53" s="3" t="s">
        <v>1551</v>
      </c>
      <c r="B53" s="3" t="s">
        <v>1682</v>
      </c>
      <c r="C53" t="s">
        <v>20</v>
      </c>
      <c r="D53"/>
      <c r="F53">
        <f t="shared" si="0"/>
        <v>0</v>
      </c>
      <c r="G53">
        <f t="shared" si="0"/>
        <v>0</v>
      </c>
    </row>
    <row r="54" spans="1:7" ht="48" x14ac:dyDescent="0.2">
      <c r="A54" s="3" t="s">
        <v>1552</v>
      </c>
      <c r="B54" s="3" t="s">
        <v>1683</v>
      </c>
      <c r="C54" t="s">
        <v>165</v>
      </c>
      <c r="D54"/>
      <c r="F54">
        <f t="shared" si="0"/>
        <v>0</v>
      </c>
      <c r="G54">
        <f t="shared" si="0"/>
        <v>0</v>
      </c>
    </row>
    <row r="55" spans="1:7" ht="48" x14ac:dyDescent="0.2">
      <c r="A55" s="3" t="s">
        <v>1553</v>
      </c>
      <c r="B55" s="3" t="s">
        <v>1684</v>
      </c>
      <c r="C55" t="s">
        <v>70</v>
      </c>
      <c r="D55"/>
      <c r="F55">
        <f t="shared" si="0"/>
        <v>0</v>
      </c>
      <c r="G55">
        <f t="shared" si="0"/>
        <v>0</v>
      </c>
    </row>
    <row r="56" spans="1:7" ht="32" x14ac:dyDescent="0.2">
      <c r="A56" s="3" t="s">
        <v>1554</v>
      </c>
      <c r="B56" s="3" t="s">
        <v>1685</v>
      </c>
      <c r="C56" t="s">
        <v>1617</v>
      </c>
      <c r="D56"/>
      <c r="F56">
        <f t="shared" si="0"/>
        <v>0</v>
      </c>
      <c r="G56">
        <f t="shared" si="0"/>
        <v>0</v>
      </c>
    </row>
    <row r="57" spans="1:7" ht="48" x14ac:dyDescent="0.2">
      <c r="A57" s="3" t="s">
        <v>1555</v>
      </c>
      <c r="B57" s="3" t="s">
        <v>1686</v>
      </c>
      <c r="C57" t="s">
        <v>1610</v>
      </c>
      <c r="D57"/>
      <c r="F57">
        <f t="shared" si="0"/>
        <v>0</v>
      </c>
      <c r="G57">
        <f t="shared" si="0"/>
        <v>0</v>
      </c>
    </row>
    <row r="58" spans="1:7" ht="32" x14ac:dyDescent="0.2">
      <c r="A58" s="3" t="s">
        <v>1556</v>
      </c>
      <c r="B58" s="3" t="s">
        <v>1687</v>
      </c>
      <c r="C58" t="s">
        <v>1618</v>
      </c>
      <c r="D58"/>
      <c r="F58">
        <f t="shared" si="0"/>
        <v>0</v>
      </c>
      <c r="G58">
        <f t="shared" si="0"/>
        <v>0</v>
      </c>
    </row>
    <row r="59" spans="1:7" ht="64" x14ac:dyDescent="0.2">
      <c r="A59" s="3" t="s">
        <v>1557</v>
      </c>
      <c r="B59" s="3" t="s">
        <v>1688</v>
      </c>
      <c r="C59" t="s">
        <v>1610</v>
      </c>
      <c r="D59"/>
      <c r="F59">
        <f t="shared" si="0"/>
        <v>0</v>
      </c>
      <c r="G59">
        <f t="shared" si="0"/>
        <v>0</v>
      </c>
    </row>
    <row r="60" spans="1:7" ht="32" x14ac:dyDescent="0.2">
      <c r="A60" s="3" t="s">
        <v>1558</v>
      </c>
      <c r="B60" s="3" t="s">
        <v>1689</v>
      </c>
      <c r="C60" t="s">
        <v>20</v>
      </c>
      <c r="D60"/>
      <c r="F60">
        <f t="shared" si="0"/>
        <v>0</v>
      </c>
      <c r="G60">
        <f t="shared" si="0"/>
        <v>0</v>
      </c>
    </row>
    <row r="61" spans="1:7" ht="32" x14ac:dyDescent="0.2">
      <c r="A61" s="3" t="s">
        <v>1559</v>
      </c>
      <c r="B61" s="3" t="s">
        <v>1690</v>
      </c>
      <c r="C61" t="s">
        <v>1619</v>
      </c>
      <c r="D61"/>
      <c r="F61">
        <f t="shared" si="0"/>
        <v>0</v>
      </c>
      <c r="G61">
        <f t="shared" si="0"/>
        <v>0</v>
      </c>
    </row>
    <row r="62" spans="1:7" ht="48" x14ac:dyDescent="0.2">
      <c r="A62" s="3" t="s">
        <v>1560</v>
      </c>
      <c r="B62" s="3" t="s">
        <v>1691</v>
      </c>
      <c r="C62" t="s">
        <v>4</v>
      </c>
      <c r="D62"/>
      <c r="F62">
        <f t="shared" si="0"/>
        <v>0</v>
      </c>
      <c r="G62">
        <f t="shared" si="0"/>
        <v>0</v>
      </c>
    </row>
    <row r="63" spans="1:7" ht="32" x14ac:dyDescent="0.2">
      <c r="A63" s="3" t="s">
        <v>1561</v>
      </c>
      <c r="B63" s="3" t="s">
        <v>1692</v>
      </c>
      <c r="C63" t="s">
        <v>10</v>
      </c>
      <c r="D63"/>
      <c r="F63">
        <f t="shared" si="0"/>
        <v>0</v>
      </c>
      <c r="G63">
        <f t="shared" si="0"/>
        <v>0</v>
      </c>
    </row>
    <row r="64" spans="1:7" ht="48" x14ac:dyDescent="0.2">
      <c r="A64" s="3" t="s">
        <v>1562</v>
      </c>
      <c r="B64" s="3" t="s">
        <v>1693</v>
      </c>
      <c r="C64" t="s">
        <v>62</v>
      </c>
      <c r="D64"/>
      <c r="F64">
        <f t="shared" si="0"/>
        <v>0</v>
      </c>
      <c r="G64">
        <f t="shared" si="0"/>
        <v>0</v>
      </c>
    </row>
    <row r="65" spans="1:7" ht="32" x14ac:dyDescent="0.2">
      <c r="A65" s="3" t="s">
        <v>1563</v>
      </c>
      <c r="B65" s="3" t="s">
        <v>1694</v>
      </c>
      <c r="C65" t="s">
        <v>1620</v>
      </c>
      <c r="D65"/>
      <c r="F65">
        <f t="shared" si="0"/>
        <v>0</v>
      </c>
      <c r="G65">
        <f t="shared" si="0"/>
        <v>0</v>
      </c>
    </row>
    <row r="66" spans="1:7" ht="48" x14ac:dyDescent="0.2">
      <c r="A66" s="3" t="s">
        <v>1564</v>
      </c>
      <c r="B66" s="3" t="s">
        <v>1695</v>
      </c>
      <c r="C66" t="s">
        <v>100</v>
      </c>
      <c r="D66"/>
      <c r="F66">
        <f t="shared" si="0"/>
        <v>0</v>
      </c>
      <c r="G66">
        <f t="shared" si="0"/>
        <v>0</v>
      </c>
    </row>
    <row r="67" spans="1:7" ht="32" x14ac:dyDescent="0.2">
      <c r="A67" s="3" t="s">
        <v>1565</v>
      </c>
      <c r="B67" s="3" t="s">
        <v>1696</v>
      </c>
      <c r="C67" t="s">
        <v>10</v>
      </c>
      <c r="D67"/>
      <c r="F67">
        <f t="shared" ref="F67:G101" si="1">IF(D67="",0,1)</f>
        <v>0</v>
      </c>
      <c r="G67">
        <f t="shared" si="1"/>
        <v>0</v>
      </c>
    </row>
    <row r="68" spans="1:7" ht="48" x14ac:dyDescent="0.2">
      <c r="A68" s="3" t="s">
        <v>1566</v>
      </c>
      <c r="B68" s="3" t="s">
        <v>1697</v>
      </c>
      <c r="C68" t="s">
        <v>1621</v>
      </c>
      <c r="D68" t="s">
        <v>1731</v>
      </c>
      <c r="F68">
        <f t="shared" si="1"/>
        <v>1</v>
      </c>
      <c r="G68">
        <f t="shared" si="1"/>
        <v>0</v>
      </c>
    </row>
    <row r="69" spans="1:7" ht="48" x14ac:dyDescent="0.2">
      <c r="A69" s="3" t="s">
        <v>1567</v>
      </c>
      <c r="B69" s="3" t="s">
        <v>1698</v>
      </c>
      <c r="C69" t="s">
        <v>111</v>
      </c>
      <c r="D69"/>
      <c r="F69">
        <f t="shared" si="1"/>
        <v>0</v>
      </c>
      <c r="G69">
        <f t="shared" si="1"/>
        <v>0</v>
      </c>
    </row>
    <row r="70" spans="1:7" ht="32" x14ac:dyDescent="0.2">
      <c r="A70" s="3" t="s">
        <v>1568</v>
      </c>
      <c r="B70" s="3" t="s">
        <v>1699</v>
      </c>
      <c r="C70" t="s">
        <v>42</v>
      </c>
      <c r="D70"/>
      <c r="F70">
        <f t="shared" si="1"/>
        <v>0</v>
      </c>
      <c r="G70">
        <f t="shared" si="1"/>
        <v>0</v>
      </c>
    </row>
    <row r="71" spans="1:7" ht="32" x14ac:dyDescent="0.2">
      <c r="A71" s="3" t="s">
        <v>1569</v>
      </c>
      <c r="B71" s="3" t="s">
        <v>1700</v>
      </c>
      <c r="C71" t="s">
        <v>96</v>
      </c>
      <c r="D71"/>
      <c r="F71">
        <f t="shared" si="1"/>
        <v>0</v>
      </c>
      <c r="G71">
        <f t="shared" si="1"/>
        <v>0</v>
      </c>
    </row>
    <row r="72" spans="1:7" ht="32" x14ac:dyDescent="0.2">
      <c r="A72" s="3" t="s">
        <v>1570</v>
      </c>
      <c r="B72" s="3" t="s">
        <v>1701</v>
      </c>
      <c r="C72" t="s">
        <v>1622</v>
      </c>
      <c r="D72"/>
      <c r="F72">
        <f t="shared" si="1"/>
        <v>0</v>
      </c>
      <c r="G72">
        <f t="shared" si="1"/>
        <v>0</v>
      </c>
    </row>
    <row r="73" spans="1:7" ht="48" x14ac:dyDescent="0.2">
      <c r="A73" s="3" t="s">
        <v>1571</v>
      </c>
      <c r="B73" s="3" t="s">
        <v>1702</v>
      </c>
      <c r="C73" t="s">
        <v>1387</v>
      </c>
      <c r="D73"/>
      <c r="F73">
        <f t="shared" si="1"/>
        <v>0</v>
      </c>
      <c r="G73">
        <f t="shared" si="1"/>
        <v>0</v>
      </c>
    </row>
    <row r="74" spans="1:7" ht="32" x14ac:dyDescent="0.2">
      <c r="A74" s="3" t="s">
        <v>1572</v>
      </c>
      <c r="B74" s="3" t="s">
        <v>1703</v>
      </c>
      <c r="C74" t="s">
        <v>20</v>
      </c>
      <c r="D74"/>
      <c r="F74">
        <f t="shared" si="1"/>
        <v>0</v>
      </c>
      <c r="G74">
        <f t="shared" si="1"/>
        <v>0</v>
      </c>
    </row>
    <row r="75" spans="1:7" ht="48" x14ac:dyDescent="0.2">
      <c r="A75" s="3" t="s">
        <v>1573</v>
      </c>
      <c r="B75" s="3" t="s">
        <v>1704</v>
      </c>
      <c r="C75" t="s">
        <v>20</v>
      </c>
      <c r="D75"/>
      <c r="F75">
        <f t="shared" si="1"/>
        <v>0</v>
      </c>
      <c r="G75">
        <f t="shared" si="1"/>
        <v>0</v>
      </c>
    </row>
    <row r="76" spans="1:7" ht="32" x14ac:dyDescent="0.2">
      <c r="A76" s="3" t="s">
        <v>1574</v>
      </c>
      <c r="B76" s="3" t="s">
        <v>1705</v>
      </c>
      <c r="C76" t="s">
        <v>111</v>
      </c>
      <c r="D76"/>
      <c r="F76">
        <f t="shared" si="1"/>
        <v>0</v>
      </c>
      <c r="G76">
        <f t="shared" si="1"/>
        <v>0</v>
      </c>
    </row>
    <row r="77" spans="1:7" ht="32" x14ac:dyDescent="0.2">
      <c r="A77" s="3" t="s">
        <v>1575</v>
      </c>
      <c r="B77" s="3" t="s">
        <v>1706</v>
      </c>
      <c r="C77" t="s">
        <v>1602</v>
      </c>
      <c r="D77"/>
      <c r="F77">
        <f t="shared" si="1"/>
        <v>0</v>
      </c>
      <c r="G77">
        <f t="shared" si="1"/>
        <v>0</v>
      </c>
    </row>
    <row r="78" spans="1:7" ht="48" x14ac:dyDescent="0.2">
      <c r="A78" s="3" t="s">
        <v>1576</v>
      </c>
      <c r="B78" s="3" t="s">
        <v>1707</v>
      </c>
      <c r="C78" t="s">
        <v>1623</v>
      </c>
      <c r="D78"/>
      <c r="F78">
        <f t="shared" si="1"/>
        <v>0</v>
      </c>
      <c r="G78">
        <f t="shared" si="1"/>
        <v>0</v>
      </c>
    </row>
    <row r="79" spans="1:7" ht="32" x14ac:dyDescent="0.2">
      <c r="A79" s="3" t="s">
        <v>1577</v>
      </c>
      <c r="B79" s="3" t="s">
        <v>1708</v>
      </c>
      <c r="C79" t="s">
        <v>95</v>
      </c>
      <c r="D79"/>
      <c r="F79">
        <f t="shared" si="1"/>
        <v>0</v>
      </c>
      <c r="G79">
        <f t="shared" si="1"/>
        <v>0</v>
      </c>
    </row>
    <row r="80" spans="1:7" ht="48" x14ac:dyDescent="0.2">
      <c r="A80" s="3" t="s">
        <v>1578</v>
      </c>
      <c r="B80" s="3" t="s">
        <v>1709</v>
      </c>
      <c r="C80" t="s">
        <v>70</v>
      </c>
      <c r="D80"/>
      <c r="F80">
        <f t="shared" si="1"/>
        <v>0</v>
      </c>
      <c r="G80">
        <f t="shared" si="1"/>
        <v>0</v>
      </c>
    </row>
    <row r="81" spans="1:7" ht="32" x14ac:dyDescent="0.2">
      <c r="A81" s="3" t="s">
        <v>1579</v>
      </c>
      <c r="B81" s="3" t="s">
        <v>1710</v>
      </c>
      <c r="C81" t="s">
        <v>1624</v>
      </c>
      <c r="D81"/>
      <c r="F81">
        <f t="shared" si="1"/>
        <v>0</v>
      </c>
      <c r="G81">
        <f t="shared" si="1"/>
        <v>0</v>
      </c>
    </row>
    <row r="82" spans="1:7" ht="32" x14ac:dyDescent="0.2">
      <c r="A82" s="3" t="s">
        <v>1580</v>
      </c>
      <c r="B82" s="3" t="s">
        <v>1711</v>
      </c>
      <c r="C82" t="s">
        <v>1625</v>
      </c>
      <c r="D82"/>
      <c r="F82">
        <f t="shared" si="1"/>
        <v>0</v>
      </c>
      <c r="G82">
        <f t="shared" si="1"/>
        <v>0</v>
      </c>
    </row>
    <row r="83" spans="1:7" ht="32" x14ac:dyDescent="0.2">
      <c r="A83" s="3" t="s">
        <v>1581</v>
      </c>
      <c r="B83" s="3" t="s">
        <v>1712</v>
      </c>
      <c r="C83" t="s">
        <v>70</v>
      </c>
      <c r="D83"/>
      <c r="F83">
        <f t="shared" si="1"/>
        <v>0</v>
      </c>
      <c r="G83">
        <f t="shared" si="1"/>
        <v>0</v>
      </c>
    </row>
    <row r="84" spans="1:7" ht="48" x14ac:dyDescent="0.2">
      <c r="A84" s="3" t="s">
        <v>1582</v>
      </c>
      <c r="B84" s="3" t="s">
        <v>1713</v>
      </c>
      <c r="C84" t="s">
        <v>1626</v>
      </c>
      <c r="D84"/>
      <c r="F84">
        <f t="shared" si="1"/>
        <v>0</v>
      </c>
      <c r="G84">
        <f t="shared" si="1"/>
        <v>0</v>
      </c>
    </row>
    <row r="85" spans="1:7" ht="32" x14ac:dyDescent="0.2">
      <c r="A85" s="3" t="s">
        <v>1583</v>
      </c>
      <c r="B85" s="3" t="s">
        <v>1714</v>
      </c>
      <c r="C85" t="s">
        <v>70</v>
      </c>
      <c r="D85"/>
      <c r="F85">
        <f t="shared" si="1"/>
        <v>0</v>
      </c>
      <c r="G85">
        <f t="shared" si="1"/>
        <v>0</v>
      </c>
    </row>
    <row r="86" spans="1:7" ht="48" x14ac:dyDescent="0.2">
      <c r="A86" s="3" t="s">
        <v>1584</v>
      </c>
      <c r="B86" s="3" t="s">
        <v>1715</v>
      </c>
      <c r="C86" t="s">
        <v>41</v>
      </c>
      <c r="D86"/>
      <c r="F86">
        <f t="shared" si="1"/>
        <v>0</v>
      </c>
      <c r="G86">
        <f t="shared" si="1"/>
        <v>0</v>
      </c>
    </row>
    <row r="87" spans="1:7" ht="32" x14ac:dyDescent="0.2">
      <c r="A87" s="3" t="s">
        <v>1585</v>
      </c>
      <c r="B87" s="3" t="s">
        <v>1716</v>
      </c>
      <c r="C87" t="s">
        <v>1627</v>
      </c>
      <c r="D87"/>
      <c r="F87">
        <f t="shared" si="1"/>
        <v>0</v>
      </c>
      <c r="G87">
        <f t="shared" si="1"/>
        <v>0</v>
      </c>
    </row>
    <row r="88" spans="1:7" ht="32" x14ac:dyDescent="0.2">
      <c r="A88" s="3" t="s">
        <v>1586</v>
      </c>
      <c r="B88" s="3" t="s">
        <v>1717</v>
      </c>
      <c r="C88" t="s">
        <v>1628</v>
      </c>
      <c r="D88"/>
      <c r="F88">
        <f t="shared" si="1"/>
        <v>0</v>
      </c>
      <c r="G88">
        <f t="shared" si="1"/>
        <v>0</v>
      </c>
    </row>
    <row r="89" spans="1:7" ht="32" x14ac:dyDescent="0.2">
      <c r="A89" s="3" t="s">
        <v>1587</v>
      </c>
      <c r="B89" s="3" t="s">
        <v>1718</v>
      </c>
      <c r="C89" t="s">
        <v>1629</v>
      </c>
      <c r="D89"/>
      <c r="F89">
        <f t="shared" si="1"/>
        <v>0</v>
      </c>
      <c r="G89">
        <f t="shared" si="1"/>
        <v>0</v>
      </c>
    </row>
    <row r="90" spans="1:7" ht="48" x14ac:dyDescent="0.2">
      <c r="A90" s="3" t="s">
        <v>1588</v>
      </c>
      <c r="B90" s="3" t="s">
        <v>1719</v>
      </c>
      <c r="C90" t="s">
        <v>288</v>
      </c>
      <c r="D90"/>
      <c r="F90">
        <f t="shared" si="1"/>
        <v>0</v>
      </c>
      <c r="G90">
        <f t="shared" si="1"/>
        <v>0</v>
      </c>
    </row>
    <row r="91" spans="1:7" ht="32" x14ac:dyDescent="0.2">
      <c r="A91" s="3" t="s">
        <v>1589</v>
      </c>
      <c r="B91" s="3" t="s">
        <v>1720</v>
      </c>
      <c r="C91" t="s">
        <v>111</v>
      </c>
      <c r="D91"/>
      <c r="F91">
        <f t="shared" si="1"/>
        <v>0</v>
      </c>
      <c r="G91">
        <f t="shared" si="1"/>
        <v>0</v>
      </c>
    </row>
    <row r="92" spans="1:7" ht="32" x14ac:dyDescent="0.2">
      <c r="A92" s="3" t="s">
        <v>1590</v>
      </c>
      <c r="B92" s="3" t="s">
        <v>1721</v>
      </c>
      <c r="C92" t="s">
        <v>105</v>
      </c>
      <c r="D92"/>
      <c r="F92">
        <f t="shared" si="1"/>
        <v>0</v>
      </c>
      <c r="G92">
        <f t="shared" si="1"/>
        <v>0</v>
      </c>
    </row>
    <row r="93" spans="1:7" ht="48" x14ac:dyDescent="0.2">
      <c r="A93" s="3" t="s">
        <v>1591</v>
      </c>
      <c r="B93" s="3" t="s">
        <v>1722</v>
      </c>
      <c r="C93" t="s">
        <v>70</v>
      </c>
      <c r="D93"/>
      <c r="F93">
        <f t="shared" si="1"/>
        <v>0</v>
      </c>
      <c r="G93">
        <f t="shared" si="1"/>
        <v>0</v>
      </c>
    </row>
    <row r="94" spans="1:7" ht="48" x14ac:dyDescent="0.2">
      <c r="A94" s="3" t="s">
        <v>1592</v>
      </c>
      <c r="B94" s="3" t="s">
        <v>1723</v>
      </c>
      <c r="C94" t="s">
        <v>111</v>
      </c>
      <c r="D94"/>
      <c r="F94">
        <f t="shared" si="1"/>
        <v>0</v>
      </c>
      <c r="G94">
        <f t="shared" si="1"/>
        <v>0</v>
      </c>
    </row>
    <row r="95" spans="1:7" ht="48" x14ac:dyDescent="0.2">
      <c r="A95" s="3" t="s">
        <v>1593</v>
      </c>
      <c r="B95" s="3" t="s">
        <v>1724</v>
      </c>
      <c r="C95" t="s">
        <v>1601</v>
      </c>
      <c r="D95"/>
      <c r="F95">
        <f t="shared" si="1"/>
        <v>0</v>
      </c>
      <c r="G95">
        <f t="shared" si="1"/>
        <v>0</v>
      </c>
    </row>
    <row r="96" spans="1:7" ht="32" x14ac:dyDescent="0.2">
      <c r="A96" s="3" t="s">
        <v>1594</v>
      </c>
      <c r="B96" s="3" t="s">
        <v>1725</v>
      </c>
      <c r="C96" t="s">
        <v>1630</v>
      </c>
      <c r="D96"/>
      <c r="F96">
        <f t="shared" si="1"/>
        <v>0</v>
      </c>
      <c r="G96">
        <f t="shared" si="1"/>
        <v>0</v>
      </c>
    </row>
    <row r="97" spans="1:7" ht="32" x14ac:dyDescent="0.2">
      <c r="A97" s="3" t="s">
        <v>1595</v>
      </c>
      <c r="B97" s="3" t="s">
        <v>1726</v>
      </c>
      <c r="C97" t="s">
        <v>94</v>
      </c>
      <c r="D97"/>
      <c r="F97">
        <f t="shared" si="1"/>
        <v>0</v>
      </c>
      <c r="G97">
        <f t="shared" si="1"/>
        <v>0</v>
      </c>
    </row>
    <row r="98" spans="1:7" ht="48" x14ac:dyDescent="0.2">
      <c r="A98" s="3" t="s">
        <v>1596</v>
      </c>
      <c r="B98" s="7" t="s">
        <v>1727</v>
      </c>
      <c r="C98" t="s">
        <v>94</v>
      </c>
      <c r="D98"/>
      <c r="F98">
        <f t="shared" si="1"/>
        <v>0</v>
      </c>
      <c r="G98">
        <f t="shared" si="1"/>
        <v>0</v>
      </c>
    </row>
    <row r="99" spans="1:7" ht="48" x14ac:dyDescent="0.2">
      <c r="A99" s="3" t="s">
        <v>1597</v>
      </c>
      <c r="B99" s="7" t="s">
        <v>1728</v>
      </c>
      <c r="C99" t="s">
        <v>70</v>
      </c>
      <c r="D99"/>
      <c r="F99">
        <f t="shared" si="1"/>
        <v>0</v>
      </c>
      <c r="G99">
        <f t="shared" si="1"/>
        <v>0</v>
      </c>
    </row>
    <row r="100" spans="1:7" ht="48" x14ac:dyDescent="0.2">
      <c r="A100" s="3" t="s">
        <v>1598</v>
      </c>
      <c r="B100" s="7" t="s">
        <v>1729</v>
      </c>
      <c r="C100" t="s">
        <v>40</v>
      </c>
      <c r="D100"/>
      <c r="F100">
        <f t="shared" si="1"/>
        <v>0</v>
      </c>
      <c r="G100">
        <f t="shared" si="1"/>
        <v>0</v>
      </c>
    </row>
    <row r="101" spans="1:7" ht="48" x14ac:dyDescent="0.2">
      <c r="A101" s="3" t="s">
        <v>1599</v>
      </c>
      <c r="B101" s="7" t="s">
        <v>1730</v>
      </c>
      <c r="C101" t="s">
        <v>96</v>
      </c>
      <c r="D101"/>
      <c r="F101">
        <f t="shared" si="1"/>
        <v>0</v>
      </c>
      <c r="G101">
        <f t="shared" si="1"/>
        <v>0</v>
      </c>
    </row>
    <row r="103" spans="1:7" x14ac:dyDescent="0.2">
      <c r="F103" s="10">
        <f>SUM(F2:F101)</f>
        <v>3</v>
      </c>
      <c r="G103" s="10">
        <f>SUM(G2:G101)</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D4A6F-AD96-C246-87B3-71D09D44D493}">
  <dimension ref="A1:G103"/>
  <sheetViews>
    <sheetView topLeftCell="A57" zoomScale="150" zoomScaleNormal="150" workbookViewId="0">
      <selection activeCell="D6" sqref="D6"/>
    </sheetView>
  </sheetViews>
  <sheetFormatPr baseColWidth="10" defaultRowHeight="15" x14ac:dyDescent="0.2"/>
  <cols>
    <col min="1" max="1" width="48" style="3" customWidth="1"/>
    <col min="2" max="2" width="47" style="7" customWidth="1"/>
    <col min="3" max="3" width="13" customWidth="1"/>
    <col min="4" max="4" width="15.1640625" style="9" customWidth="1"/>
    <col min="5" max="5" width="13.33203125" customWidth="1"/>
  </cols>
  <sheetData>
    <row r="1" spans="1:7" ht="16" x14ac:dyDescent="0.2">
      <c r="A1" s="2" t="s">
        <v>0</v>
      </c>
      <c r="B1" s="6" t="s">
        <v>1969</v>
      </c>
      <c r="C1" s="1" t="s">
        <v>1</v>
      </c>
      <c r="D1" s="8" t="s">
        <v>44</v>
      </c>
      <c r="E1" s="1" t="s">
        <v>45</v>
      </c>
      <c r="F1" s="1" t="s">
        <v>44</v>
      </c>
      <c r="G1" s="1" t="s">
        <v>45</v>
      </c>
    </row>
    <row r="2" spans="1:7" ht="64" x14ac:dyDescent="0.2">
      <c r="A2" s="3" t="s">
        <v>1732</v>
      </c>
      <c r="B2" s="3" t="s">
        <v>1870</v>
      </c>
      <c r="C2" t="s">
        <v>11</v>
      </c>
      <c r="D2"/>
      <c r="F2">
        <f>IF(D2="",0,1)</f>
        <v>0</v>
      </c>
      <c r="G2">
        <f>IF(E2="",0,1)</f>
        <v>0</v>
      </c>
    </row>
    <row r="3" spans="1:7" ht="48" x14ac:dyDescent="0.2">
      <c r="A3" s="3" t="s">
        <v>1733</v>
      </c>
      <c r="B3" s="3" t="s">
        <v>1871</v>
      </c>
      <c r="C3" t="s">
        <v>132</v>
      </c>
      <c r="D3"/>
      <c r="F3">
        <f t="shared" ref="F3:G66" si="0">IF(D3="",0,1)</f>
        <v>0</v>
      </c>
      <c r="G3">
        <f t="shared" si="0"/>
        <v>0</v>
      </c>
    </row>
    <row r="4" spans="1:7" ht="48" x14ac:dyDescent="0.2">
      <c r="A4" s="3" t="s">
        <v>1734</v>
      </c>
      <c r="B4" s="3" t="s">
        <v>1872</v>
      </c>
      <c r="C4" t="s">
        <v>228</v>
      </c>
      <c r="D4"/>
      <c r="F4">
        <f t="shared" si="0"/>
        <v>0</v>
      </c>
      <c r="G4">
        <f t="shared" si="0"/>
        <v>0</v>
      </c>
    </row>
    <row r="5" spans="1:7" ht="64" x14ac:dyDescent="0.2">
      <c r="A5" s="3" t="s">
        <v>1735</v>
      </c>
      <c r="B5" s="3" t="s">
        <v>1873</v>
      </c>
      <c r="C5" t="s">
        <v>30</v>
      </c>
      <c r="D5"/>
      <c r="F5">
        <f t="shared" si="0"/>
        <v>0</v>
      </c>
      <c r="G5">
        <f t="shared" si="0"/>
        <v>0</v>
      </c>
    </row>
    <row r="6" spans="1:7" ht="64" x14ac:dyDescent="0.2">
      <c r="A6" s="3" t="s">
        <v>1736</v>
      </c>
      <c r="B6" s="3" t="s">
        <v>1874</v>
      </c>
      <c r="C6" t="s">
        <v>286</v>
      </c>
      <c r="D6"/>
      <c r="F6">
        <f t="shared" si="0"/>
        <v>0</v>
      </c>
      <c r="G6">
        <f t="shared" si="0"/>
        <v>0</v>
      </c>
    </row>
    <row r="7" spans="1:7" ht="48" x14ac:dyDescent="0.2">
      <c r="A7" s="3" t="s">
        <v>1737</v>
      </c>
      <c r="B7" s="3" t="s">
        <v>1875</v>
      </c>
      <c r="C7" t="s">
        <v>11</v>
      </c>
      <c r="D7"/>
      <c r="F7">
        <f t="shared" si="0"/>
        <v>0</v>
      </c>
      <c r="G7">
        <f t="shared" si="0"/>
        <v>0</v>
      </c>
    </row>
    <row r="8" spans="1:7" ht="64" x14ac:dyDescent="0.2">
      <c r="A8" s="3" t="s">
        <v>1738</v>
      </c>
      <c r="B8" s="3" t="s">
        <v>1876</v>
      </c>
      <c r="C8" t="s">
        <v>1832</v>
      </c>
      <c r="D8" t="s">
        <v>196</v>
      </c>
      <c r="F8">
        <f t="shared" si="0"/>
        <v>1</v>
      </c>
      <c r="G8">
        <f t="shared" si="0"/>
        <v>0</v>
      </c>
    </row>
    <row r="9" spans="1:7" ht="64" x14ac:dyDescent="0.2">
      <c r="A9" s="3" t="s">
        <v>1739</v>
      </c>
      <c r="B9" s="3" t="s">
        <v>1877</v>
      </c>
      <c r="C9" t="s">
        <v>42</v>
      </c>
      <c r="D9"/>
      <c r="F9">
        <f t="shared" si="0"/>
        <v>0</v>
      </c>
      <c r="G9">
        <f t="shared" si="0"/>
        <v>0</v>
      </c>
    </row>
    <row r="10" spans="1:7" ht="64" x14ac:dyDescent="0.2">
      <c r="A10" s="3" t="s">
        <v>1740</v>
      </c>
      <c r="B10" s="3" t="s">
        <v>1878</v>
      </c>
      <c r="C10" t="s">
        <v>1833</v>
      </c>
      <c r="D10"/>
      <c r="F10">
        <f t="shared" si="0"/>
        <v>0</v>
      </c>
      <c r="G10">
        <f t="shared" si="0"/>
        <v>0</v>
      </c>
    </row>
    <row r="11" spans="1:7" ht="64" x14ac:dyDescent="0.2">
      <c r="A11" s="3" t="s">
        <v>1741</v>
      </c>
      <c r="B11" s="3" t="s">
        <v>1879</v>
      </c>
      <c r="C11" t="s">
        <v>122</v>
      </c>
      <c r="D11"/>
      <c r="E11" t="s">
        <v>90</v>
      </c>
      <c r="F11">
        <f t="shared" si="0"/>
        <v>0</v>
      </c>
      <c r="G11">
        <f t="shared" si="0"/>
        <v>1</v>
      </c>
    </row>
    <row r="12" spans="1:7" ht="32" x14ac:dyDescent="0.2">
      <c r="A12" s="3" t="s">
        <v>1742</v>
      </c>
      <c r="B12" s="3" t="s">
        <v>1880</v>
      </c>
      <c r="C12" t="s">
        <v>71</v>
      </c>
      <c r="D12"/>
      <c r="F12">
        <f t="shared" si="0"/>
        <v>0</v>
      </c>
      <c r="G12">
        <f t="shared" si="0"/>
        <v>0</v>
      </c>
    </row>
    <row r="13" spans="1:7" ht="64" x14ac:dyDescent="0.2">
      <c r="A13" s="3" t="s">
        <v>1743</v>
      </c>
      <c r="B13" s="3" t="s">
        <v>1881</v>
      </c>
      <c r="C13" t="s">
        <v>1834</v>
      </c>
      <c r="D13"/>
      <c r="F13">
        <f t="shared" si="0"/>
        <v>0</v>
      </c>
      <c r="G13">
        <f t="shared" si="0"/>
        <v>0</v>
      </c>
    </row>
    <row r="14" spans="1:7" ht="64" x14ac:dyDescent="0.2">
      <c r="A14" s="3" t="s">
        <v>1744</v>
      </c>
      <c r="B14" s="3" t="s">
        <v>1882</v>
      </c>
      <c r="C14" t="s">
        <v>114</v>
      </c>
      <c r="D14"/>
      <c r="F14">
        <f t="shared" si="0"/>
        <v>0</v>
      </c>
      <c r="G14">
        <f t="shared" si="0"/>
        <v>0</v>
      </c>
    </row>
    <row r="15" spans="1:7" ht="48" x14ac:dyDescent="0.2">
      <c r="A15" s="3" t="s">
        <v>1745</v>
      </c>
      <c r="B15" s="3" t="s">
        <v>1883</v>
      </c>
      <c r="C15" t="s">
        <v>1835</v>
      </c>
      <c r="D15"/>
      <c r="F15">
        <f t="shared" si="0"/>
        <v>0</v>
      </c>
      <c r="G15">
        <f t="shared" si="0"/>
        <v>0</v>
      </c>
    </row>
    <row r="16" spans="1:7" ht="64" x14ac:dyDescent="0.2">
      <c r="A16" s="3" t="s">
        <v>1746</v>
      </c>
      <c r="B16" s="3" t="s">
        <v>1884</v>
      </c>
      <c r="C16" t="s">
        <v>13</v>
      </c>
      <c r="D16"/>
      <c r="F16">
        <f t="shared" si="0"/>
        <v>0</v>
      </c>
      <c r="G16">
        <f t="shared" si="0"/>
        <v>0</v>
      </c>
    </row>
    <row r="17" spans="1:7" ht="48" x14ac:dyDescent="0.2">
      <c r="A17" s="3" t="s">
        <v>1747</v>
      </c>
      <c r="B17" s="3" t="s">
        <v>1885</v>
      </c>
      <c r="C17" t="s">
        <v>212</v>
      </c>
      <c r="D17"/>
      <c r="F17">
        <f t="shared" si="0"/>
        <v>0</v>
      </c>
      <c r="G17">
        <f t="shared" si="0"/>
        <v>0</v>
      </c>
    </row>
    <row r="18" spans="1:7" ht="64" x14ac:dyDescent="0.2">
      <c r="A18" s="3" t="s">
        <v>1748</v>
      </c>
      <c r="B18" s="3" t="s">
        <v>1886</v>
      </c>
      <c r="C18" t="s">
        <v>67</v>
      </c>
      <c r="D18"/>
      <c r="F18">
        <f t="shared" si="0"/>
        <v>0</v>
      </c>
      <c r="G18">
        <f t="shared" si="0"/>
        <v>0</v>
      </c>
    </row>
    <row r="19" spans="1:7" ht="80" x14ac:dyDescent="0.2">
      <c r="A19" s="3" t="s">
        <v>1749</v>
      </c>
      <c r="B19" s="3" t="s">
        <v>1887</v>
      </c>
      <c r="C19" t="s">
        <v>1836</v>
      </c>
      <c r="D19"/>
      <c r="F19">
        <f t="shared" si="0"/>
        <v>0</v>
      </c>
      <c r="G19">
        <f t="shared" si="0"/>
        <v>0</v>
      </c>
    </row>
    <row r="20" spans="1:7" ht="64" x14ac:dyDescent="0.2">
      <c r="A20" s="3" t="s">
        <v>1750</v>
      </c>
      <c r="B20" s="3" t="s">
        <v>1888</v>
      </c>
      <c r="C20" t="s">
        <v>295</v>
      </c>
      <c r="D20"/>
      <c r="F20">
        <f t="shared" si="0"/>
        <v>0</v>
      </c>
      <c r="G20">
        <f t="shared" si="0"/>
        <v>0</v>
      </c>
    </row>
    <row r="21" spans="1:7" ht="64" x14ac:dyDescent="0.2">
      <c r="A21" s="3" t="s">
        <v>1751</v>
      </c>
      <c r="B21" s="3" t="s">
        <v>1889</v>
      </c>
      <c r="C21" t="s">
        <v>26</v>
      </c>
      <c r="D21"/>
      <c r="F21">
        <f t="shared" si="0"/>
        <v>0</v>
      </c>
      <c r="G21">
        <f t="shared" si="0"/>
        <v>0</v>
      </c>
    </row>
    <row r="22" spans="1:7" ht="64" x14ac:dyDescent="0.2">
      <c r="A22" s="3" t="s">
        <v>1752</v>
      </c>
      <c r="B22" s="3" t="s">
        <v>1890</v>
      </c>
      <c r="C22" t="s">
        <v>175</v>
      </c>
      <c r="D22"/>
      <c r="F22">
        <f t="shared" si="0"/>
        <v>0</v>
      </c>
      <c r="G22">
        <f t="shared" si="0"/>
        <v>0</v>
      </c>
    </row>
    <row r="23" spans="1:7" ht="48" x14ac:dyDescent="0.2">
      <c r="A23" s="3" t="s">
        <v>1753</v>
      </c>
      <c r="B23" s="3" t="s">
        <v>1891</v>
      </c>
      <c r="C23" t="s">
        <v>254</v>
      </c>
      <c r="D23"/>
      <c r="F23">
        <f t="shared" si="0"/>
        <v>0</v>
      </c>
      <c r="G23">
        <f t="shared" si="0"/>
        <v>0</v>
      </c>
    </row>
    <row r="24" spans="1:7" ht="64" x14ac:dyDescent="0.2">
      <c r="A24" s="3" t="s">
        <v>1754</v>
      </c>
      <c r="B24" s="3" t="s">
        <v>1892</v>
      </c>
      <c r="C24" t="s">
        <v>1837</v>
      </c>
      <c r="D24"/>
      <c r="F24">
        <f t="shared" si="0"/>
        <v>0</v>
      </c>
      <c r="G24">
        <f t="shared" si="0"/>
        <v>0</v>
      </c>
    </row>
    <row r="25" spans="1:7" ht="64" x14ac:dyDescent="0.2">
      <c r="A25" s="3" t="s">
        <v>1755</v>
      </c>
      <c r="B25" s="3" t="s">
        <v>1893</v>
      </c>
      <c r="C25" t="s">
        <v>1371</v>
      </c>
      <c r="D25"/>
      <c r="F25">
        <f t="shared" si="0"/>
        <v>0</v>
      </c>
      <c r="G25">
        <f t="shared" si="0"/>
        <v>0</v>
      </c>
    </row>
    <row r="26" spans="1:7" ht="64" x14ac:dyDescent="0.2">
      <c r="A26" s="3" t="s">
        <v>1756</v>
      </c>
      <c r="B26" s="3" t="s">
        <v>1894</v>
      </c>
      <c r="C26" t="s">
        <v>1838</v>
      </c>
      <c r="D26"/>
      <c r="F26">
        <f t="shared" si="0"/>
        <v>0</v>
      </c>
      <c r="G26">
        <f t="shared" si="0"/>
        <v>0</v>
      </c>
    </row>
    <row r="27" spans="1:7" ht="64" x14ac:dyDescent="0.2">
      <c r="A27" s="3" t="s">
        <v>1757</v>
      </c>
      <c r="B27" s="3" t="s">
        <v>1895</v>
      </c>
      <c r="C27" t="s">
        <v>1839</v>
      </c>
      <c r="D27"/>
      <c r="F27">
        <f t="shared" si="0"/>
        <v>0</v>
      </c>
      <c r="G27">
        <f t="shared" si="0"/>
        <v>0</v>
      </c>
    </row>
    <row r="28" spans="1:7" ht="64" x14ac:dyDescent="0.2">
      <c r="A28" s="3" t="s">
        <v>1758</v>
      </c>
      <c r="B28" s="3" t="s">
        <v>1896</v>
      </c>
      <c r="C28" t="s">
        <v>264</v>
      </c>
      <c r="D28"/>
      <c r="F28">
        <f t="shared" si="0"/>
        <v>0</v>
      </c>
      <c r="G28">
        <f t="shared" si="0"/>
        <v>0</v>
      </c>
    </row>
    <row r="29" spans="1:7" ht="64" x14ac:dyDescent="0.2">
      <c r="A29" s="3" t="s">
        <v>1759</v>
      </c>
      <c r="B29" s="3" t="s">
        <v>1897</v>
      </c>
      <c r="C29" t="s">
        <v>1840</v>
      </c>
      <c r="D29"/>
      <c r="F29">
        <f t="shared" si="0"/>
        <v>0</v>
      </c>
      <c r="G29">
        <f t="shared" si="0"/>
        <v>0</v>
      </c>
    </row>
    <row r="30" spans="1:7" ht="64" x14ac:dyDescent="0.2">
      <c r="A30" s="3" t="s">
        <v>1760</v>
      </c>
      <c r="B30" s="3" t="s">
        <v>1898</v>
      </c>
      <c r="C30" t="s">
        <v>5</v>
      </c>
      <c r="D30"/>
      <c r="F30">
        <f t="shared" si="0"/>
        <v>0</v>
      </c>
      <c r="G30">
        <f t="shared" si="0"/>
        <v>0</v>
      </c>
    </row>
    <row r="31" spans="1:7" ht="64" x14ac:dyDescent="0.2">
      <c r="A31" s="3" t="s">
        <v>1761</v>
      </c>
      <c r="B31" s="3" t="s">
        <v>1899</v>
      </c>
      <c r="C31" t="s">
        <v>186</v>
      </c>
      <c r="D31"/>
      <c r="F31">
        <f t="shared" si="0"/>
        <v>0</v>
      </c>
      <c r="G31">
        <f t="shared" si="0"/>
        <v>0</v>
      </c>
    </row>
    <row r="32" spans="1:7" ht="64" x14ac:dyDescent="0.2">
      <c r="A32" s="3" t="s">
        <v>1762</v>
      </c>
      <c r="B32" s="3" t="s">
        <v>1900</v>
      </c>
      <c r="C32" t="s">
        <v>79</v>
      </c>
      <c r="D32"/>
      <c r="F32">
        <f t="shared" si="0"/>
        <v>0</v>
      </c>
      <c r="G32">
        <f t="shared" si="0"/>
        <v>0</v>
      </c>
    </row>
    <row r="33" spans="1:7" ht="48" x14ac:dyDescent="0.2">
      <c r="A33" s="3" t="s">
        <v>1763</v>
      </c>
      <c r="B33" s="3" t="s">
        <v>1901</v>
      </c>
      <c r="C33" t="s">
        <v>5</v>
      </c>
      <c r="D33"/>
      <c r="F33">
        <f t="shared" si="0"/>
        <v>0</v>
      </c>
      <c r="G33">
        <f t="shared" si="0"/>
        <v>0</v>
      </c>
    </row>
    <row r="34" spans="1:7" ht="48" x14ac:dyDescent="0.2">
      <c r="A34" s="3" t="s">
        <v>1764</v>
      </c>
      <c r="B34" s="3" t="s">
        <v>1902</v>
      </c>
      <c r="C34" t="s">
        <v>1841</v>
      </c>
      <c r="D34"/>
      <c r="F34">
        <f t="shared" si="0"/>
        <v>0</v>
      </c>
      <c r="G34">
        <f t="shared" si="0"/>
        <v>0</v>
      </c>
    </row>
    <row r="35" spans="1:7" ht="64" x14ac:dyDescent="0.2">
      <c r="A35" s="3" t="s">
        <v>1765</v>
      </c>
      <c r="B35" s="3" t="s">
        <v>1903</v>
      </c>
      <c r="C35" t="s">
        <v>293</v>
      </c>
      <c r="D35"/>
      <c r="F35">
        <f t="shared" si="0"/>
        <v>0</v>
      </c>
      <c r="G35">
        <f t="shared" si="0"/>
        <v>0</v>
      </c>
    </row>
    <row r="36" spans="1:7" ht="88" customHeight="1" x14ac:dyDescent="0.2">
      <c r="A36" s="3" t="s">
        <v>1766</v>
      </c>
      <c r="B36" s="3" t="s">
        <v>1904</v>
      </c>
      <c r="C36" t="s">
        <v>127</v>
      </c>
      <c r="D36"/>
      <c r="F36">
        <f t="shared" si="0"/>
        <v>0</v>
      </c>
      <c r="G36">
        <f t="shared" si="0"/>
        <v>0</v>
      </c>
    </row>
    <row r="37" spans="1:7" ht="64" x14ac:dyDescent="0.2">
      <c r="A37" s="3" t="s">
        <v>1767</v>
      </c>
      <c r="B37" s="3" t="s">
        <v>1905</v>
      </c>
      <c r="C37" t="s">
        <v>1842</v>
      </c>
      <c r="D37"/>
      <c r="F37">
        <f t="shared" si="0"/>
        <v>0</v>
      </c>
      <c r="G37">
        <f t="shared" si="0"/>
        <v>0</v>
      </c>
    </row>
    <row r="38" spans="1:7" ht="48" x14ac:dyDescent="0.2">
      <c r="A38" s="3" t="s">
        <v>1768</v>
      </c>
      <c r="B38" s="3" t="s">
        <v>1906</v>
      </c>
      <c r="C38" t="s">
        <v>1843</v>
      </c>
      <c r="D38"/>
      <c r="F38">
        <f t="shared" si="0"/>
        <v>0</v>
      </c>
      <c r="G38">
        <f t="shared" si="0"/>
        <v>0</v>
      </c>
    </row>
    <row r="39" spans="1:7" ht="80" x14ac:dyDescent="0.2">
      <c r="A39" s="3" t="s">
        <v>1769</v>
      </c>
      <c r="B39" s="3" t="s">
        <v>1907</v>
      </c>
      <c r="C39" t="s">
        <v>1844</v>
      </c>
      <c r="D39"/>
      <c r="F39">
        <f t="shared" si="0"/>
        <v>0</v>
      </c>
      <c r="G39">
        <f t="shared" si="0"/>
        <v>0</v>
      </c>
    </row>
    <row r="40" spans="1:7" ht="64" x14ac:dyDescent="0.2">
      <c r="A40" s="3" t="s">
        <v>1770</v>
      </c>
      <c r="B40" s="3" t="s">
        <v>1908</v>
      </c>
      <c r="C40" t="s">
        <v>1845</v>
      </c>
      <c r="D40"/>
      <c r="F40">
        <f t="shared" si="0"/>
        <v>0</v>
      </c>
      <c r="G40">
        <f t="shared" si="0"/>
        <v>0</v>
      </c>
    </row>
    <row r="41" spans="1:7" ht="64" x14ac:dyDescent="0.2">
      <c r="A41" s="3" t="s">
        <v>1771</v>
      </c>
      <c r="B41" s="3" t="s">
        <v>1909</v>
      </c>
      <c r="C41" t="s">
        <v>294</v>
      </c>
      <c r="D41"/>
      <c r="F41">
        <f t="shared" si="0"/>
        <v>0</v>
      </c>
      <c r="G41">
        <f t="shared" si="0"/>
        <v>0</v>
      </c>
    </row>
    <row r="42" spans="1:7" ht="64" x14ac:dyDescent="0.2">
      <c r="A42" s="3" t="s">
        <v>1772</v>
      </c>
      <c r="B42" s="3" t="s">
        <v>1910</v>
      </c>
      <c r="C42" t="s">
        <v>247</v>
      </c>
      <c r="D42"/>
      <c r="F42">
        <f t="shared" si="0"/>
        <v>0</v>
      </c>
      <c r="G42">
        <f t="shared" si="0"/>
        <v>0</v>
      </c>
    </row>
    <row r="43" spans="1:7" ht="48" x14ac:dyDescent="0.2">
      <c r="A43" s="3" t="s">
        <v>1773</v>
      </c>
      <c r="B43" s="3" t="s">
        <v>1911</v>
      </c>
      <c r="C43" t="s">
        <v>1846</v>
      </c>
      <c r="D43" t="s">
        <v>1971</v>
      </c>
      <c r="F43">
        <f t="shared" si="0"/>
        <v>1</v>
      </c>
      <c r="G43">
        <f t="shared" si="0"/>
        <v>0</v>
      </c>
    </row>
    <row r="44" spans="1:7" ht="64" x14ac:dyDescent="0.2">
      <c r="A44" s="3" t="s">
        <v>1774</v>
      </c>
      <c r="B44" s="3" t="s">
        <v>1912</v>
      </c>
      <c r="C44" t="s">
        <v>1847</v>
      </c>
      <c r="D44"/>
      <c r="F44">
        <f t="shared" si="0"/>
        <v>0</v>
      </c>
      <c r="G44">
        <f t="shared" si="0"/>
        <v>0</v>
      </c>
    </row>
    <row r="45" spans="1:7" ht="64" x14ac:dyDescent="0.2">
      <c r="A45" s="3" t="s">
        <v>1775</v>
      </c>
      <c r="B45" s="3" t="s">
        <v>1913</v>
      </c>
      <c r="C45" t="s">
        <v>1848</v>
      </c>
      <c r="D45"/>
      <c r="F45">
        <f t="shared" si="0"/>
        <v>0</v>
      </c>
      <c r="G45">
        <f t="shared" si="0"/>
        <v>0</v>
      </c>
    </row>
    <row r="46" spans="1:7" ht="64" x14ac:dyDescent="0.2">
      <c r="A46" s="3" t="s">
        <v>1776</v>
      </c>
      <c r="B46" s="3" t="s">
        <v>1914</v>
      </c>
      <c r="C46" t="s">
        <v>20</v>
      </c>
      <c r="D46"/>
      <c r="F46">
        <f t="shared" si="0"/>
        <v>0</v>
      </c>
      <c r="G46">
        <f t="shared" si="0"/>
        <v>0</v>
      </c>
    </row>
    <row r="47" spans="1:7" ht="48" x14ac:dyDescent="0.2">
      <c r="A47" s="3" t="s">
        <v>1777</v>
      </c>
      <c r="B47" s="3" t="s">
        <v>1915</v>
      </c>
      <c r="C47" t="s">
        <v>1849</v>
      </c>
      <c r="D47"/>
      <c r="F47">
        <f t="shared" si="0"/>
        <v>0</v>
      </c>
      <c r="G47">
        <f t="shared" si="0"/>
        <v>0</v>
      </c>
    </row>
    <row r="48" spans="1:7" ht="64" x14ac:dyDescent="0.2">
      <c r="A48" s="3" t="s">
        <v>1778</v>
      </c>
      <c r="B48" s="3" t="s">
        <v>1916</v>
      </c>
      <c r="C48" t="s">
        <v>2</v>
      </c>
      <c r="D48"/>
      <c r="F48">
        <f t="shared" si="0"/>
        <v>0</v>
      </c>
      <c r="G48">
        <f t="shared" si="0"/>
        <v>0</v>
      </c>
    </row>
    <row r="49" spans="1:7" ht="64" x14ac:dyDescent="0.2">
      <c r="A49" s="3" t="s">
        <v>1779</v>
      </c>
      <c r="B49" s="3" t="s">
        <v>1917</v>
      </c>
      <c r="C49" t="s">
        <v>184</v>
      </c>
      <c r="D49"/>
      <c r="F49">
        <f t="shared" si="0"/>
        <v>0</v>
      </c>
      <c r="G49">
        <f t="shared" si="0"/>
        <v>0</v>
      </c>
    </row>
    <row r="50" spans="1:7" ht="64" x14ac:dyDescent="0.2">
      <c r="A50" s="3" t="s">
        <v>1780</v>
      </c>
      <c r="B50" s="3" t="s">
        <v>1918</v>
      </c>
      <c r="C50" t="s">
        <v>1850</v>
      </c>
      <c r="D50"/>
      <c r="F50">
        <f t="shared" si="0"/>
        <v>0</v>
      </c>
      <c r="G50">
        <f t="shared" si="0"/>
        <v>0</v>
      </c>
    </row>
    <row r="51" spans="1:7" ht="64" x14ac:dyDescent="0.2">
      <c r="A51" s="3" t="s">
        <v>1781</v>
      </c>
      <c r="B51" s="3" t="s">
        <v>1970</v>
      </c>
      <c r="C51" t="s">
        <v>1851</v>
      </c>
      <c r="D51"/>
      <c r="F51">
        <f t="shared" si="0"/>
        <v>0</v>
      </c>
      <c r="G51">
        <f t="shared" si="0"/>
        <v>0</v>
      </c>
    </row>
    <row r="52" spans="1:7" ht="64" x14ac:dyDescent="0.2">
      <c r="A52" s="3" t="s">
        <v>1782</v>
      </c>
      <c r="B52" s="3" t="s">
        <v>1919</v>
      </c>
      <c r="C52" t="s">
        <v>158</v>
      </c>
      <c r="D52"/>
      <c r="F52">
        <f t="shared" si="0"/>
        <v>0</v>
      </c>
      <c r="G52">
        <f t="shared" si="0"/>
        <v>0</v>
      </c>
    </row>
    <row r="53" spans="1:7" ht="75" customHeight="1" x14ac:dyDescent="0.2">
      <c r="A53" s="3" t="s">
        <v>1783</v>
      </c>
      <c r="B53" s="3" t="s">
        <v>1920</v>
      </c>
      <c r="C53" t="s">
        <v>1852</v>
      </c>
      <c r="D53" t="s">
        <v>1266</v>
      </c>
      <c r="F53">
        <f t="shared" si="0"/>
        <v>1</v>
      </c>
      <c r="G53">
        <f t="shared" si="0"/>
        <v>0</v>
      </c>
    </row>
    <row r="54" spans="1:7" ht="64" x14ac:dyDescent="0.2">
      <c r="A54" s="3" t="s">
        <v>1784</v>
      </c>
      <c r="B54" s="3" t="s">
        <v>1921</v>
      </c>
      <c r="C54" t="s">
        <v>1853</v>
      </c>
      <c r="D54"/>
      <c r="F54">
        <f t="shared" si="0"/>
        <v>0</v>
      </c>
      <c r="G54">
        <f t="shared" si="0"/>
        <v>0</v>
      </c>
    </row>
    <row r="55" spans="1:7" ht="64" x14ac:dyDescent="0.2">
      <c r="A55" s="3" t="s">
        <v>1785</v>
      </c>
      <c r="B55" s="3" t="s">
        <v>1922</v>
      </c>
      <c r="C55" t="s">
        <v>30</v>
      </c>
      <c r="D55"/>
      <c r="F55">
        <f t="shared" si="0"/>
        <v>0</v>
      </c>
      <c r="G55">
        <f t="shared" si="0"/>
        <v>0</v>
      </c>
    </row>
    <row r="56" spans="1:7" ht="64" x14ac:dyDescent="0.2">
      <c r="A56" s="3" t="s">
        <v>1786</v>
      </c>
      <c r="B56" s="3" t="s">
        <v>1923</v>
      </c>
      <c r="C56" t="s">
        <v>20</v>
      </c>
      <c r="D56"/>
      <c r="F56">
        <f t="shared" si="0"/>
        <v>0</v>
      </c>
      <c r="G56">
        <f t="shared" si="0"/>
        <v>0</v>
      </c>
    </row>
    <row r="57" spans="1:7" ht="64" x14ac:dyDescent="0.2">
      <c r="A57" s="3" t="s">
        <v>1787</v>
      </c>
      <c r="B57" s="3" t="s">
        <v>1924</v>
      </c>
      <c r="C57" t="s">
        <v>2</v>
      </c>
      <c r="D57"/>
      <c r="F57">
        <f t="shared" si="0"/>
        <v>0</v>
      </c>
      <c r="G57">
        <f t="shared" si="0"/>
        <v>0</v>
      </c>
    </row>
    <row r="58" spans="1:7" ht="64" x14ac:dyDescent="0.2">
      <c r="A58" s="3" t="s">
        <v>1788</v>
      </c>
      <c r="B58" s="3" t="s">
        <v>1925</v>
      </c>
      <c r="C58" t="s">
        <v>1854</v>
      </c>
      <c r="D58"/>
      <c r="F58">
        <f t="shared" si="0"/>
        <v>0</v>
      </c>
      <c r="G58">
        <f t="shared" si="0"/>
        <v>0</v>
      </c>
    </row>
    <row r="59" spans="1:7" ht="64" x14ac:dyDescent="0.2">
      <c r="A59" s="3" t="s">
        <v>1789</v>
      </c>
      <c r="B59" s="3" t="s">
        <v>1926</v>
      </c>
      <c r="C59" t="s">
        <v>1855</v>
      </c>
      <c r="D59"/>
      <c r="F59">
        <f t="shared" si="0"/>
        <v>0</v>
      </c>
      <c r="G59">
        <f t="shared" si="0"/>
        <v>0</v>
      </c>
    </row>
    <row r="60" spans="1:7" ht="64" x14ac:dyDescent="0.2">
      <c r="A60" s="3" t="s">
        <v>1790</v>
      </c>
      <c r="B60" s="3" t="s">
        <v>1927</v>
      </c>
      <c r="C60" t="s">
        <v>1856</v>
      </c>
      <c r="D60"/>
      <c r="F60">
        <f t="shared" si="0"/>
        <v>0</v>
      </c>
      <c r="G60">
        <f t="shared" si="0"/>
        <v>0</v>
      </c>
    </row>
    <row r="61" spans="1:7" ht="64" x14ac:dyDescent="0.2">
      <c r="A61" s="3" t="s">
        <v>1791</v>
      </c>
      <c r="B61" s="3" t="s">
        <v>1928</v>
      </c>
      <c r="C61" t="s">
        <v>5</v>
      </c>
      <c r="D61"/>
      <c r="F61">
        <f t="shared" si="0"/>
        <v>0</v>
      </c>
      <c r="G61">
        <f t="shared" si="0"/>
        <v>0</v>
      </c>
    </row>
    <row r="62" spans="1:7" ht="48" x14ac:dyDescent="0.2">
      <c r="A62" s="3" t="s">
        <v>1792</v>
      </c>
      <c r="B62" s="3" t="s">
        <v>1929</v>
      </c>
      <c r="C62" t="s">
        <v>2</v>
      </c>
      <c r="D62"/>
      <c r="F62">
        <f t="shared" si="0"/>
        <v>0</v>
      </c>
      <c r="G62">
        <f t="shared" si="0"/>
        <v>0</v>
      </c>
    </row>
    <row r="63" spans="1:7" ht="64" x14ac:dyDescent="0.2">
      <c r="A63" s="3" t="s">
        <v>1793</v>
      </c>
      <c r="B63" s="3" t="s">
        <v>1930</v>
      </c>
      <c r="C63" t="s">
        <v>61</v>
      </c>
      <c r="D63"/>
      <c r="F63">
        <f t="shared" si="0"/>
        <v>0</v>
      </c>
      <c r="G63">
        <f t="shared" si="0"/>
        <v>0</v>
      </c>
    </row>
    <row r="64" spans="1:7" ht="48" x14ac:dyDescent="0.2">
      <c r="A64" s="3" t="s">
        <v>1794</v>
      </c>
      <c r="B64" s="3" t="s">
        <v>1931</v>
      </c>
      <c r="C64" t="s">
        <v>2</v>
      </c>
      <c r="D64"/>
      <c r="F64">
        <f t="shared" si="0"/>
        <v>0</v>
      </c>
      <c r="G64">
        <f t="shared" si="0"/>
        <v>0</v>
      </c>
    </row>
    <row r="65" spans="1:7" ht="48" x14ac:dyDescent="0.2">
      <c r="A65" s="3" t="s">
        <v>1795</v>
      </c>
      <c r="B65" s="3" t="s">
        <v>1932</v>
      </c>
      <c r="C65" t="s">
        <v>30</v>
      </c>
      <c r="D65"/>
      <c r="F65">
        <f t="shared" si="0"/>
        <v>0</v>
      </c>
      <c r="G65">
        <f t="shared" si="0"/>
        <v>0</v>
      </c>
    </row>
    <row r="66" spans="1:7" ht="48" x14ac:dyDescent="0.2">
      <c r="A66" s="3" t="s">
        <v>1796</v>
      </c>
      <c r="B66" s="3" t="s">
        <v>1933</v>
      </c>
      <c r="C66" t="s">
        <v>1857</v>
      </c>
      <c r="D66"/>
      <c r="F66">
        <f t="shared" si="0"/>
        <v>0</v>
      </c>
      <c r="G66">
        <f t="shared" si="0"/>
        <v>0</v>
      </c>
    </row>
    <row r="67" spans="1:7" ht="64" x14ac:dyDescent="0.2">
      <c r="A67" s="3" t="s">
        <v>1797</v>
      </c>
      <c r="B67" s="3" t="s">
        <v>1934</v>
      </c>
      <c r="C67" t="s">
        <v>71</v>
      </c>
      <c r="D67"/>
      <c r="F67">
        <f t="shared" ref="F67:G101" si="1">IF(D67="",0,1)</f>
        <v>0</v>
      </c>
      <c r="G67">
        <f t="shared" si="1"/>
        <v>0</v>
      </c>
    </row>
    <row r="68" spans="1:7" ht="64" x14ac:dyDescent="0.2">
      <c r="A68" s="3" t="s">
        <v>1798</v>
      </c>
      <c r="B68" s="3" t="s">
        <v>1935</v>
      </c>
      <c r="C68" t="s">
        <v>9</v>
      </c>
      <c r="D68"/>
      <c r="F68">
        <f t="shared" si="1"/>
        <v>0</v>
      </c>
      <c r="G68">
        <f t="shared" si="1"/>
        <v>0</v>
      </c>
    </row>
    <row r="69" spans="1:7" ht="80" x14ac:dyDescent="0.2">
      <c r="A69" s="3" t="s">
        <v>1799</v>
      </c>
      <c r="B69" s="3" t="s">
        <v>1936</v>
      </c>
      <c r="C69" t="s">
        <v>1858</v>
      </c>
      <c r="D69"/>
      <c r="F69">
        <f t="shared" si="1"/>
        <v>0</v>
      </c>
      <c r="G69">
        <f t="shared" si="1"/>
        <v>0</v>
      </c>
    </row>
    <row r="70" spans="1:7" ht="64" x14ac:dyDescent="0.2">
      <c r="A70" s="3" t="s">
        <v>1800</v>
      </c>
      <c r="B70" s="3" t="s">
        <v>1937</v>
      </c>
      <c r="C70" t="s">
        <v>1859</v>
      </c>
      <c r="D70"/>
      <c r="F70">
        <f t="shared" si="1"/>
        <v>0</v>
      </c>
      <c r="G70">
        <f t="shared" si="1"/>
        <v>0</v>
      </c>
    </row>
    <row r="71" spans="1:7" ht="64" x14ac:dyDescent="0.2">
      <c r="A71" s="3" t="s">
        <v>1801</v>
      </c>
      <c r="B71" s="3" t="s">
        <v>1938</v>
      </c>
      <c r="C71" t="s">
        <v>1860</v>
      </c>
      <c r="D71"/>
      <c r="F71">
        <f t="shared" si="1"/>
        <v>0</v>
      </c>
      <c r="G71">
        <f t="shared" si="1"/>
        <v>0</v>
      </c>
    </row>
    <row r="72" spans="1:7" ht="64" x14ac:dyDescent="0.2">
      <c r="A72" s="3" t="s">
        <v>1802</v>
      </c>
      <c r="B72" s="3" t="s">
        <v>1939</v>
      </c>
      <c r="C72" t="s">
        <v>42</v>
      </c>
      <c r="D72"/>
      <c r="F72">
        <f t="shared" si="1"/>
        <v>0</v>
      </c>
      <c r="G72">
        <f t="shared" si="1"/>
        <v>0</v>
      </c>
    </row>
    <row r="73" spans="1:7" ht="64" x14ac:dyDescent="0.2">
      <c r="A73" s="3" t="s">
        <v>1803</v>
      </c>
      <c r="B73" s="3" t="s">
        <v>1940</v>
      </c>
      <c r="C73" t="s">
        <v>84</v>
      </c>
      <c r="D73"/>
      <c r="F73">
        <f t="shared" si="1"/>
        <v>0</v>
      </c>
      <c r="G73">
        <f t="shared" si="1"/>
        <v>0</v>
      </c>
    </row>
    <row r="74" spans="1:7" ht="64" x14ac:dyDescent="0.2">
      <c r="A74" s="3" t="s">
        <v>1804</v>
      </c>
      <c r="B74" s="3" t="s">
        <v>1941</v>
      </c>
      <c r="C74" t="s">
        <v>1861</v>
      </c>
      <c r="D74"/>
      <c r="F74">
        <f t="shared" si="1"/>
        <v>0</v>
      </c>
      <c r="G74">
        <f t="shared" si="1"/>
        <v>0</v>
      </c>
    </row>
    <row r="75" spans="1:7" ht="80" x14ac:dyDescent="0.2">
      <c r="A75" s="3" t="s">
        <v>1805</v>
      </c>
      <c r="B75" s="3" t="s">
        <v>1942</v>
      </c>
      <c r="C75" t="s">
        <v>129</v>
      </c>
      <c r="D75"/>
      <c r="F75">
        <f t="shared" si="1"/>
        <v>0</v>
      </c>
      <c r="G75">
        <f t="shared" si="1"/>
        <v>0</v>
      </c>
    </row>
    <row r="76" spans="1:7" ht="64" x14ac:dyDescent="0.2">
      <c r="A76" s="3" t="s">
        <v>1806</v>
      </c>
      <c r="B76" s="3" t="s">
        <v>1943</v>
      </c>
      <c r="C76" t="s">
        <v>275</v>
      </c>
      <c r="D76"/>
      <c r="F76">
        <f t="shared" si="1"/>
        <v>0</v>
      </c>
      <c r="G76">
        <f t="shared" si="1"/>
        <v>0</v>
      </c>
    </row>
    <row r="77" spans="1:7" ht="48" x14ac:dyDescent="0.2">
      <c r="A77" s="3" t="s">
        <v>1807</v>
      </c>
      <c r="B77" s="3" t="s">
        <v>1944</v>
      </c>
      <c r="C77" t="s">
        <v>2</v>
      </c>
      <c r="D77"/>
      <c r="F77">
        <f t="shared" si="1"/>
        <v>0</v>
      </c>
      <c r="G77">
        <f t="shared" si="1"/>
        <v>0</v>
      </c>
    </row>
    <row r="78" spans="1:7" ht="64" x14ac:dyDescent="0.2">
      <c r="A78" s="3" t="s">
        <v>1808</v>
      </c>
      <c r="B78" s="3" t="s">
        <v>1945</v>
      </c>
      <c r="C78" t="s">
        <v>1862</v>
      </c>
      <c r="D78"/>
      <c r="F78">
        <f t="shared" si="1"/>
        <v>0</v>
      </c>
      <c r="G78">
        <f t="shared" si="1"/>
        <v>0</v>
      </c>
    </row>
    <row r="79" spans="1:7" ht="48" x14ac:dyDescent="0.2">
      <c r="A79" s="3" t="s">
        <v>1809</v>
      </c>
      <c r="B79" s="3" t="s">
        <v>1946</v>
      </c>
      <c r="C79" t="s">
        <v>1863</v>
      </c>
      <c r="D79"/>
      <c r="F79">
        <f t="shared" si="1"/>
        <v>0</v>
      </c>
      <c r="G79">
        <f t="shared" si="1"/>
        <v>0</v>
      </c>
    </row>
    <row r="80" spans="1:7" ht="64" x14ac:dyDescent="0.2">
      <c r="A80" s="3" t="s">
        <v>1810</v>
      </c>
      <c r="B80" s="3" t="s">
        <v>1947</v>
      </c>
      <c r="C80" t="s">
        <v>107</v>
      </c>
      <c r="D80"/>
      <c r="F80">
        <f t="shared" si="1"/>
        <v>0</v>
      </c>
      <c r="G80">
        <f t="shared" si="1"/>
        <v>0</v>
      </c>
    </row>
    <row r="81" spans="1:7" ht="64" x14ac:dyDescent="0.2">
      <c r="A81" s="3" t="s">
        <v>1811</v>
      </c>
      <c r="B81" s="3" t="s">
        <v>1948</v>
      </c>
      <c r="C81" t="s">
        <v>98</v>
      </c>
      <c r="D81"/>
      <c r="F81">
        <f t="shared" si="1"/>
        <v>0</v>
      </c>
      <c r="G81">
        <f t="shared" si="1"/>
        <v>0</v>
      </c>
    </row>
    <row r="82" spans="1:7" ht="48" x14ac:dyDescent="0.2">
      <c r="A82" s="3" t="s">
        <v>1812</v>
      </c>
      <c r="B82" s="3" t="s">
        <v>1949</v>
      </c>
      <c r="C82" t="s">
        <v>84</v>
      </c>
      <c r="D82"/>
      <c r="F82">
        <f t="shared" si="1"/>
        <v>0</v>
      </c>
      <c r="G82">
        <f t="shared" si="1"/>
        <v>0</v>
      </c>
    </row>
    <row r="83" spans="1:7" ht="64" x14ac:dyDescent="0.2">
      <c r="A83" s="3" t="s">
        <v>1813</v>
      </c>
      <c r="B83" s="3" t="s">
        <v>1950</v>
      </c>
      <c r="C83" t="s">
        <v>1864</v>
      </c>
      <c r="D83"/>
      <c r="F83">
        <f t="shared" si="1"/>
        <v>0</v>
      </c>
      <c r="G83">
        <f t="shared" si="1"/>
        <v>0</v>
      </c>
    </row>
    <row r="84" spans="1:7" ht="48" x14ac:dyDescent="0.2">
      <c r="A84" s="3" t="s">
        <v>1814</v>
      </c>
      <c r="B84" s="3" t="s">
        <v>1951</v>
      </c>
      <c r="C84" t="s">
        <v>30</v>
      </c>
      <c r="D84"/>
      <c r="F84">
        <f t="shared" si="1"/>
        <v>0</v>
      </c>
      <c r="G84">
        <f t="shared" si="1"/>
        <v>0</v>
      </c>
    </row>
    <row r="85" spans="1:7" ht="64" x14ac:dyDescent="0.2">
      <c r="A85" s="3" t="s">
        <v>1815</v>
      </c>
      <c r="B85" s="3" t="s">
        <v>1952</v>
      </c>
      <c r="C85" t="s">
        <v>274</v>
      </c>
      <c r="D85"/>
      <c r="F85">
        <f t="shared" si="1"/>
        <v>0</v>
      </c>
      <c r="G85">
        <f t="shared" si="1"/>
        <v>0</v>
      </c>
    </row>
    <row r="86" spans="1:7" ht="64" x14ac:dyDescent="0.2">
      <c r="A86" s="3" t="s">
        <v>1816</v>
      </c>
      <c r="B86" s="3" t="s">
        <v>1953</v>
      </c>
      <c r="C86" t="s">
        <v>122</v>
      </c>
      <c r="D86"/>
      <c r="F86">
        <f t="shared" si="1"/>
        <v>0</v>
      </c>
      <c r="G86">
        <f t="shared" si="1"/>
        <v>0</v>
      </c>
    </row>
    <row r="87" spans="1:7" ht="64" x14ac:dyDescent="0.2">
      <c r="A87" s="3" t="s">
        <v>1817</v>
      </c>
      <c r="B87" s="3" t="s">
        <v>1954</v>
      </c>
      <c r="C87" t="s">
        <v>1865</v>
      </c>
      <c r="D87"/>
      <c r="F87">
        <f t="shared" si="1"/>
        <v>0</v>
      </c>
      <c r="G87">
        <f t="shared" si="1"/>
        <v>0</v>
      </c>
    </row>
    <row r="88" spans="1:7" ht="64" x14ac:dyDescent="0.2">
      <c r="A88" s="3" t="s">
        <v>1818</v>
      </c>
      <c r="B88" s="3" t="s">
        <v>1955</v>
      </c>
      <c r="C88" t="s">
        <v>294</v>
      </c>
      <c r="D88"/>
      <c r="F88">
        <f t="shared" si="1"/>
        <v>0</v>
      </c>
      <c r="G88">
        <f t="shared" si="1"/>
        <v>0</v>
      </c>
    </row>
    <row r="89" spans="1:7" ht="64" x14ac:dyDescent="0.2">
      <c r="A89" s="3" t="s">
        <v>1819</v>
      </c>
      <c r="B89" s="3" t="s">
        <v>1956</v>
      </c>
      <c r="C89" t="s">
        <v>177</v>
      </c>
      <c r="D89"/>
      <c r="F89">
        <f t="shared" si="1"/>
        <v>0</v>
      </c>
      <c r="G89">
        <f t="shared" si="1"/>
        <v>0</v>
      </c>
    </row>
    <row r="90" spans="1:7" ht="48" x14ac:dyDescent="0.2">
      <c r="A90" s="3" t="s">
        <v>1820</v>
      </c>
      <c r="B90" s="3" t="s">
        <v>1957</v>
      </c>
      <c r="C90" t="s">
        <v>1866</v>
      </c>
      <c r="D90"/>
      <c r="F90">
        <f t="shared" si="1"/>
        <v>0</v>
      </c>
      <c r="G90">
        <f t="shared" si="1"/>
        <v>0</v>
      </c>
    </row>
    <row r="91" spans="1:7" ht="48" x14ac:dyDescent="0.2">
      <c r="A91" s="3" t="s">
        <v>1821</v>
      </c>
      <c r="B91" s="3" t="s">
        <v>1958</v>
      </c>
      <c r="C91" t="s">
        <v>124</v>
      </c>
      <c r="D91"/>
      <c r="F91">
        <f t="shared" si="1"/>
        <v>0</v>
      </c>
      <c r="G91">
        <f t="shared" si="1"/>
        <v>0</v>
      </c>
    </row>
    <row r="92" spans="1:7" ht="64" x14ac:dyDescent="0.2">
      <c r="A92" s="3" t="s">
        <v>1822</v>
      </c>
      <c r="B92" s="3" t="s">
        <v>1959</v>
      </c>
      <c r="C92" t="s">
        <v>109</v>
      </c>
      <c r="D92"/>
      <c r="F92">
        <f t="shared" si="1"/>
        <v>0</v>
      </c>
      <c r="G92">
        <f t="shared" si="1"/>
        <v>0</v>
      </c>
    </row>
    <row r="93" spans="1:7" ht="64" x14ac:dyDescent="0.2">
      <c r="A93" s="3" t="s">
        <v>1823</v>
      </c>
      <c r="B93" s="3" t="s">
        <v>1960</v>
      </c>
      <c r="C93" t="s">
        <v>1867</v>
      </c>
      <c r="D93"/>
      <c r="F93">
        <f t="shared" si="1"/>
        <v>0</v>
      </c>
      <c r="G93">
        <f t="shared" si="1"/>
        <v>0</v>
      </c>
    </row>
    <row r="94" spans="1:7" ht="48" x14ac:dyDescent="0.2">
      <c r="A94" s="3" t="s">
        <v>1824</v>
      </c>
      <c r="B94" s="3" t="s">
        <v>1961</v>
      </c>
      <c r="C94" t="s">
        <v>201</v>
      </c>
      <c r="D94"/>
      <c r="F94">
        <f t="shared" si="1"/>
        <v>0</v>
      </c>
      <c r="G94">
        <f t="shared" si="1"/>
        <v>0</v>
      </c>
    </row>
    <row r="95" spans="1:7" ht="64" x14ac:dyDescent="0.2">
      <c r="A95" s="3" t="s">
        <v>1825</v>
      </c>
      <c r="B95" s="3" t="s">
        <v>1962</v>
      </c>
      <c r="C95" t="s">
        <v>174</v>
      </c>
      <c r="D95"/>
      <c r="F95">
        <f t="shared" si="1"/>
        <v>0</v>
      </c>
      <c r="G95">
        <f t="shared" si="1"/>
        <v>0</v>
      </c>
    </row>
    <row r="96" spans="1:7" ht="64" x14ac:dyDescent="0.2">
      <c r="A96" s="3" t="s">
        <v>1826</v>
      </c>
      <c r="B96" s="3" t="s">
        <v>1963</v>
      </c>
      <c r="C96" t="s">
        <v>1856</v>
      </c>
      <c r="D96"/>
      <c r="F96">
        <f t="shared" si="1"/>
        <v>0</v>
      </c>
      <c r="G96">
        <f t="shared" si="1"/>
        <v>0</v>
      </c>
    </row>
    <row r="97" spans="1:7" ht="48" x14ac:dyDescent="0.2">
      <c r="A97" s="3" t="s">
        <v>1827</v>
      </c>
      <c r="B97" s="7" t="s">
        <v>1964</v>
      </c>
      <c r="C97" t="s">
        <v>1868</v>
      </c>
      <c r="D97"/>
      <c r="F97">
        <f t="shared" si="1"/>
        <v>0</v>
      </c>
      <c r="G97">
        <f t="shared" si="1"/>
        <v>0</v>
      </c>
    </row>
    <row r="98" spans="1:7" ht="64" x14ac:dyDescent="0.2">
      <c r="A98" s="3" t="s">
        <v>1828</v>
      </c>
      <c r="B98" s="7" t="s">
        <v>1965</v>
      </c>
      <c r="C98" t="s">
        <v>42</v>
      </c>
      <c r="D98"/>
      <c r="F98">
        <f t="shared" si="1"/>
        <v>0</v>
      </c>
      <c r="G98">
        <f t="shared" si="1"/>
        <v>0</v>
      </c>
    </row>
    <row r="99" spans="1:7" ht="64" x14ac:dyDescent="0.2">
      <c r="A99" s="3" t="s">
        <v>1829</v>
      </c>
      <c r="B99" s="7" t="s">
        <v>1966</v>
      </c>
      <c r="C99" t="s">
        <v>5</v>
      </c>
      <c r="D99"/>
      <c r="F99">
        <f t="shared" si="1"/>
        <v>0</v>
      </c>
      <c r="G99">
        <f t="shared" si="1"/>
        <v>0</v>
      </c>
    </row>
    <row r="100" spans="1:7" ht="96" x14ac:dyDescent="0.2">
      <c r="A100" s="3" t="s">
        <v>1830</v>
      </c>
      <c r="B100" s="7" t="s">
        <v>1967</v>
      </c>
      <c r="C100" t="s">
        <v>1869</v>
      </c>
      <c r="D100"/>
      <c r="F100">
        <f t="shared" si="1"/>
        <v>0</v>
      </c>
      <c r="G100">
        <f t="shared" si="1"/>
        <v>0</v>
      </c>
    </row>
    <row r="101" spans="1:7" ht="48" x14ac:dyDescent="0.2">
      <c r="A101" s="3" t="s">
        <v>1831</v>
      </c>
      <c r="B101" s="7" t="s">
        <v>1968</v>
      </c>
      <c r="C101" t="s">
        <v>205</v>
      </c>
      <c r="D101" t="s">
        <v>1972</v>
      </c>
      <c r="F101">
        <f t="shared" si="1"/>
        <v>1</v>
      </c>
      <c r="G101">
        <f t="shared" si="1"/>
        <v>0</v>
      </c>
    </row>
    <row r="103" spans="1:7" x14ac:dyDescent="0.2">
      <c r="F103" s="10">
        <f>SUM(F2:F101)</f>
        <v>4</v>
      </c>
      <c r="G103" s="10">
        <f>SUM(G2:G101)</f>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3"/>
  <sheetViews>
    <sheetView topLeftCell="A22" zoomScale="150" zoomScaleNormal="150" workbookViewId="0">
      <selection activeCell="E29" sqref="E29"/>
    </sheetView>
  </sheetViews>
  <sheetFormatPr baseColWidth="10" defaultRowHeight="15" x14ac:dyDescent="0.2"/>
  <cols>
    <col min="1" max="1" width="47.1640625" style="3" customWidth="1"/>
    <col min="2" max="2" width="56.1640625" style="7" customWidth="1"/>
    <col min="3" max="3" width="8.83203125"/>
    <col min="4" max="4" width="15.1640625" style="9" customWidth="1"/>
    <col min="5" max="5" width="13.33203125" customWidth="1"/>
  </cols>
  <sheetData>
    <row r="1" spans="1:7" ht="16" x14ac:dyDescent="0.2">
      <c r="A1" s="2" t="s">
        <v>0</v>
      </c>
      <c r="B1" s="6" t="s">
        <v>101</v>
      </c>
      <c r="C1" s="1" t="s">
        <v>1</v>
      </c>
      <c r="D1" s="8" t="s">
        <v>44</v>
      </c>
      <c r="E1" s="1" t="s">
        <v>45</v>
      </c>
      <c r="F1" s="1" t="s">
        <v>44</v>
      </c>
      <c r="G1" s="1" t="s">
        <v>45</v>
      </c>
    </row>
    <row r="2" spans="1:7" ht="64" x14ac:dyDescent="0.2">
      <c r="A2" s="3" t="s">
        <v>1973</v>
      </c>
      <c r="B2" s="3" t="s">
        <v>2101</v>
      </c>
      <c r="C2" t="s">
        <v>132</v>
      </c>
      <c r="D2"/>
      <c r="F2">
        <f>IF(D2="",0,1)</f>
        <v>0</v>
      </c>
      <c r="G2">
        <f>IF(E2="",0,1)</f>
        <v>0</v>
      </c>
    </row>
    <row r="3" spans="1:7" ht="64" x14ac:dyDescent="0.2">
      <c r="A3" s="3" t="s">
        <v>1974</v>
      </c>
      <c r="B3" s="3" t="s">
        <v>2102</v>
      </c>
      <c r="C3" t="s">
        <v>2073</v>
      </c>
      <c r="D3"/>
      <c r="F3">
        <f t="shared" ref="F3:G66" si="0">IF(D3="",0,1)</f>
        <v>0</v>
      </c>
      <c r="G3">
        <f t="shared" si="0"/>
        <v>0</v>
      </c>
    </row>
    <row r="4" spans="1:7" ht="64" x14ac:dyDescent="0.2">
      <c r="A4" s="3" t="s">
        <v>1975</v>
      </c>
      <c r="B4" s="3" t="s">
        <v>2103</v>
      </c>
      <c r="C4" t="s">
        <v>134</v>
      </c>
      <c r="D4"/>
      <c r="F4">
        <f t="shared" si="0"/>
        <v>0</v>
      </c>
      <c r="G4">
        <f t="shared" si="0"/>
        <v>0</v>
      </c>
    </row>
    <row r="5" spans="1:7" ht="64" x14ac:dyDescent="0.2">
      <c r="A5" s="3" t="s">
        <v>1976</v>
      </c>
      <c r="B5" s="3" t="s">
        <v>2104</v>
      </c>
      <c r="C5" t="s">
        <v>2074</v>
      </c>
      <c r="D5" t="s">
        <v>2201</v>
      </c>
      <c r="F5">
        <f t="shared" si="0"/>
        <v>1</v>
      </c>
      <c r="G5">
        <f t="shared" si="0"/>
        <v>0</v>
      </c>
    </row>
    <row r="6" spans="1:7" ht="64" x14ac:dyDescent="0.2">
      <c r="A6" s="3" t="s">
        <v>1977</v>
      </c>
      <c r="B6" s="3" t="s">
        <v>2105</v>
      </c>
      <c r="C6" t="s">
        <v>27</v>
      </c>
      <c r="D6"/>
      <c r="F6">
        <f t="shared" si="0"/>
        <v>0</v>
      </c>
      <c r="G6">
        <f t="shared" si="0"/>
        <v>0</v>
      </c>
    </row>
    <row r="7" spans="1:7" ht="64" x14ac:dyDescent="0.2">
      <c r="A7" s="3" t="s">
        <v>1978</v>
      </c>
      <c r="B7" s="3" t="s">
        <v>2106</v>
      </c>
      <c r="C7" t="s">
        <v>2075</v>
      </c>
      <c r="D7"/>
      <c r="F7">
        <f t="shared" si="0"/>
        <v>0</v>
      </c>
      <c r="G7">
        <f t="shared" si="0"/>
        <v>0</v>
      </c>
    </row>
    <row r="8" spans="1:7" ht="48" x14ac:dyDescent="0.2">
      <c r="A8" s="3" t="s">
        <v>1979</v>
      </c>
      <c r="B8" s="3" t="s">
        <v>2107</v>
      </c>
      <c r="C8" t="s">
        <v>13</v>
      </c>
      <c r="D8"/>
      <c r="F8">
        <f t="shared" si="0"/>
        <v>0</v>
      </c>
      <c r="G8">
        <f t="shared" si="0"/>
        <v>0</v>
      </c>
    </row>
    <row r="9" spans="1:7" ht="64" x14ac:dyDescent="0.2">
      <c r="A9" s="3" t="s">
        <v>1980</v>
      </c>
      <c r="B9" s="3" t="s">
        <v>2108</v>
      </c>
      <c r="C9" t="s">
        <v>223</v>
      </c>
      <c r="D9"/>
      <c r="F9">
        <f t="shared" si="0"/>
        <v>0</v>
      </c>
      <c r="G9">
        <f t="shared" si="0"/>
        <v>0</v>
      </c>
    </row>
    <row r="10" spans="1:7" ht="64" x14ac:dyDescent="0.2">
      <c r="A10" s="3" t="s">
        <v>1981</v>
      </c>
      <c r="B10" s="3" t="s">
        <v>2109</v>
      </c>
      <c r="C10" t="s">
        <v>135</v>
      </c>
      <c r="D10"/>
      <c r="F10">
        <f t="shared" si="0"/>
        <v>0</v>
      </c>
      <c r="G10">
        <f t="shared" si="0"/>
        <v>0</v>
      </c>
    </row>
    <row r="11" spans="1:7" ht="64" x14ac:dyDescent="0.2">
      <c r="A11" s="3" t="s">
        <v>1982</v>
      </c>
      <c r="B11" s="3" t="s">
        <v>2110</v>
      </c>
      <c r="C11" t="s">
        <v>5</v>
      </c>
      <c r="D11"/>
      <c r="F11">
        <f t="shared" si="0"/>
        <v>0</v>
      </c>
      <c r="G11">
        <f t="shared" si="0"/>
        <v>0</v>
      </c>
    </row>
    <row r="12" spans="1:7" ht="64" x14ac:dyDescent="0.2">
      <c r="A12" s="3" t="s">
        <v>1983</v>
      </c>
      <c r="B12" s="3" t="s">
        <v>2111</v>
      </c>
      <c r="C12" t="s">
        <v>2076</v>
      </c>
      <c r="D12"/>
      <c r="F12">
        <f t="shared" si="0"/>
        <v>0</v>
      </c>
      <c r="G12">
        <f t="shared" si="0"/>
        <v>0</v>
      </c>
    </row>
    <row r="13" spans="1:7" ht="48" x14ac:dyDescent="0.2">
      <c r="A13" s="3" t="s">
        <v>1984</v>
      </c>
      <c r="B13" s="3" t="s">
        <v>2112</v>
      </c>
      <c r="C13" t="s">
        <v>125</v>
      </c>
      <c r="D13"/>
      <c r="F13">
        <f t="shared" si="0"/>
        <v>0</v>
      </c>
      <c r="G13">
        <f t="shared" si="0"/>
        <v>0</v>
      </c>
    </row>
    <row r="14" spans="1:7" ht="48" x14ac:dyDescent="0.2">
      <c r="A14" s="3" t="s">
        <v>1985</v>
      </c>
      <c r="B14" s="3" t="s">
        <v>2113</v>
      </c>
      <c r="C14" t="s">
        <v>192</v>
      </c>
      <c r="D14"/>
      <c r="F14">
        <f t="shared" si="0"/>
        <v>0</v>
      </c>
      <c r="G14">
        <f t="shared" si="0"/>
        <v>0</v>
      </c>
    </row>
    <row r="15" spans="1:7" ht="64" x14ac:dyDescent="0.2">
      <c r="A15" s="3" t="s">
        <v>1986</v>
      </c>
      <c r="B15" s="3" t="s">
        <v>2114</v>
      </c>
      <c r="C15" t="s">
        <v>15</v>
      </c>
      <c r="D15"/>
      <c r="F15">
        <f t="shared" si="0"/>
        <v>0</v>
      </c>
      <c r="G15">
        <f t="shared" si="0"/>
        <v>0</v>
      </c>
    </row>
    <row r="16" spans="1:7" ht="48" x14ac:dyDescent="0.2">
      <c r="A16" s="3" t="s">
        <v>1987</v>
      </c>
      <c r="B16" s="3" t="s">
        <v>2115</v>
      </c>
      <c r="C16" t="s">
        <v>79</v>
      </c>
      <c r="D16"/>
      <c r="F16">
        <f t="shared" si="0"/>
        <v>0</v>
      </c>
      <c r="G16">
        <f t="shared" si="0"/>
        <v>0</v>
      </c>
    </row>
    <row r="17" spans="1:7" ht="48" x14ac:dyDescent="0.2">
      <c r="A17" s="3" t="s">
        <v>1988</v>
      </c>
      <c r="B17" s="3" t="s">
        <v>2116</v>
      </c>
      <c r="C17" t="s">
        <v>66</v>
      </c>
      <c r="D17"/>
      <c r="F17">
        <f t="shared" si="0"/>
        <v>0</v>
      </c>
      <c r="G17">
        <f t="shared" si="0"/>
        <v>0</v>
      </c>
    </row>
    <row r="18" spans="1:7" ht="64" x14ac:dyDescent="0.2">
      <c r="A18" s="3" t="s">
        <v>1989</v>
      </c>
      <c r="B18" s="3" t="s">
        <v>2117</v>
      </c>
      <c r="C18" t="s">
        <v>2077</v>
      </c>
      <c r="D18"/>
      <c r="F18">
        <f t="shared" si="0"/>
        <v>0</v>
      </c>
      <c r="G18">
        <f t="shared" si="0"/>
        <v>0</v>
      </c>
    </row>
    <row r="19" spans="1:7" ht="48" x14ac:dyDescent="0.2">
      <c r="A19" s="3" t="s">
        <v>1990</v>
      </c>
      <c r="B19" s="3" t="s">
        <v>2118</v>
      </c>
      <c r="C19" t="s">
        <v>5</v>
      </c>
      <c r="D19"/>
      <c r="F19">
        <f t="shared" si="0"/>
        <v>0</v>
      </c>
      <c r="G19">
        <f t="shared" si="0"/>
        <v>0</v>
      </c>
    </row>
    <row r="20" spans="1:7" ht="48" x14ac:dyDescent="0.2">
      <c r="A20" s="3" t="s">
        <v>1991</v>
      </c>
      <c r="B20" s="3" t="s">
        <v>2119</v>
      </c>
      <c r="C20" t="s">
        <v>2078</v>
      </c>
      <c r="D20"/>
      <c r="F20">
        <f t="shared" si="0"/>
        <v>0</v>
      </c>
      <c r="G20">
        <f t="shared" si="0"/>
        <v>0</v>
      </c>
    </row>
    <row r="21" spans="1:7" ht="48" x14ac:dyDescent="0.2">
      <c r="A21" s="3" t="s">
        <v>1992</v>
      </c>
      <c r="B21" s="3" t="s">
        <v>2120</v>
      </c>
      <c r="C21" t="s">
        <v>2079</v>
      </c>
      <c r="D21"/>
      <c r="F21">
        <f t="shared" si="0"/>
        <v>0</v>
      </c>
      <c r="G21">
        <f t="shared" si="0"/>
        <v>0</v>
      </c>
    </row>
    <row r="22" spans="1:7" ht="48" x14ac:dyDescent="0.2">
      <c r="A22" s="3" t="s">
        <v>1993</v>
      </c>
      <c r="B22" s="3" t="s">
        <v>2121</v>
      </c>
      <c r="C22" t="s">
        <v>905</v>
      </c>
      <c r="D22"/>
      <c r="F22">
        <f t="shared" si="0"/>
        <v>0</v>
      </c>
      <c r="G22">
        <f t="shared" si="0"/>
        <v>0</v>
      </c>
    </row>
    <row r="23" spans="1:7" ht="48" x14ac:dyDescent="0.2">
      <c r="A23" s="3" t="s">
        <v>1994</v>
      </c>
      <c r="B23" s="3" t="s">
        <v>2122</v>
      </c>
      <c r="C23" t="s">
        <v>6</v>
      </c>
      <c r="D23"/>
      <c r="F23">
        <f t="shared" si="0"/>
        <v>0</v>
      </c>
      <c r="G23">
        <f t="shared" si="0"/>
        <v>0</v>
      </c>
    </row>
    <row r="24" spans="1:7" ht="48" x14ac:dyDescent="0.2">
      <c r="A24" s="3" t="s">
        <v>1995</v>
      </c>
      <c r="B24" s="3" t="s">
        <v>2123</v>
      </c>
      <c r="C24" t="s">
        <v>2</v>
      </c>
      <c r="D24"/>
      <c r="F24">
        <f t="shared" si="0"/>
        <v>0</v>
      </c>
      <c r="G24">
        <f t="shared" si="0"/>
        <v>0</v>
      </c>
    </row>
    <row r="25" spans="1:7" ht="64" x14ac:dyDescent="0.2">
      <c r="A25" s="3" t="s">
        <v>1996</v>
      </c>
      <c r="B25" s="3" t="s">
        <v>2124</v>
      </c>
      <c r="C25" t="s">
        <v>2080</v>
      </c>
      <c r="D25"/>
      <c r="F25">
        <f t="shared" si="0"/>
        <v>0</v>
      </c>
      <c r="G25">
        <f t="shared" si="0"/>
        <v>0</v>
      </c>
    </row>
    <row r="26" spans="1:7" ht="48" x14ac:dyDescent="0.2">
      <c r="A26" s="3" t="s">
        <v>1997</v>
      </c>
      <c r="B26" s="3" t="s">
        <v>2125</v>
      </c>
      <c r="C26" t="s">
        <v>72</v>
      </c>
      <c r="D26"/>
      <c r="F26">
        <f t="shared" si="0"/>
        <v>0</v>
      </c>
      <c r="G26">
        <f t="shared" si="0"/>
        <v>0</v>
      </c>
    </row>
    <row r="27" spans="1:7" ht="48" x14ac:dyDescent="0.2">
      <c r="A27" s="3" t="s">
        <v>1998</v>
      </c>
      <c r="B27" s="3" t="s">
        <v>2126</v>
      </c>
      <c r="C27" t="s">
        <v>164</v>
      </c>
      <c r="D27"/>
      <c r="F27">
        <f t="shared" si="0"/>
        <v>0</v>
      </c>
      <c r="G27">
        <f t="shared" si="0"/>
        <v>0</v>
      </c>
    </row>
    <row r="28" spans="1:7" ht="48" x14ac:dyDescent="0.2">
      <c r="A28" s="3" t="s">
        <v>1999</v>
      </c>
      <c r="B28" s="3" t="s">
        <v>2127</v>
      </c>
      <c r="C28" t="s">
        <v>2081</v>
      </c>
      <c r="D28"/>
      <c r="F28">
        <f t="shared" si="0"/>
        <v>0</v>
      </c>
      <c r="G28">
        <f t="shared" si="0"/>
        <v>0</v>
      </c>
    </row>
    <row r="29" spans="1:7" ht="64" x14ac:dyDescent="0.2">
      <c r="A29" s="3" t="s">
        <v>2000</v>
      </c>
      <c r="B29" s="3" t="s">
        <v>2128</v>
      </c>
      <c r="C29" t="s">
        <v>35</v>
      </c>
      <c r="D29"/>
      <c r="F29">
        <f t="shared" si="0"/>
        <v>0</v>
      </c>
      <c r="G29">
        <f t="shared" si="0"/>
        <v>0</v>
      </c>
    </row>
    <row r="30" spans="1:7" ht="48" x14ac:dyDescent="0.2">
      <c r="A30" s="3" t="s">
        <v>2001</v>
      </c>
      <c r="B30" s="3" t="s">
        <v>2129</v>
      </c>
      <c r="C30" t="s">
        <v>17</v>
      </c>
      <c r="D30"/>
      <c r="F30">
        <f t="shared" si="0"/>
        <v>0</v>
      </c>
      <c r="G30">
        <f t="shared" si="0"/>
        <v>0</v>
      </c>
    </row>
    <row r="31" spans="1:7" ht="64" x14ac:dyDescent="0.2">
      <c r="A31" s="3" t="s">
        <v>2002</v>
      </c>
      <c r="B31" s="3" t="s">
        <v>2130</v>
      </c>
      <c r="C31" t="s">
        <v>68</v>
      </c>
      <c r="D31"/>
      <c r="F31">
        <f t="shared" si="0"/>
        <v>0</v>
      </c>
      <c r="G31">
        <f t="shared" si="0"/>
        <v>0</v>
      </c>
    </row>
    <row r="32" spans="1:7" ht="48" x14ac:dyDescent="0.2">
      <c r="A32" s="3" t="s">
        <v>2003</v>
      </c>
      <c r="B32" s="3" t="s">
        <v>2131</v>
      </c>
      <c r="C32" t="s">
        <v>16</v>
      </c>
      <c r="D32"/>
      <c r="F32">
        <f t="shared" si="0"/>
        <v>0</v>
      </c>
      <c r="G32">
        <f t="shared" si="0"/>
        <v>0</v>
      </c>
    </row>
    <row r="33" spans="1:7" ht="64" x14ac:dyDescent="0.2">
      <c r="A33" s="3" t="s">
        <v>2004</v>
      </c>
      <c r="B33" s="3" t="s">
        <v>2132</v>
      </c>
      <c r="C33" t="s">
        <v>22</v>
      </c>
      <c r="D33"/>
      <c r="F33">
        <f t="shared" si="0"/>
        <v>0</v>
      </c>
      <c r="G33">
        <f t="shared" si="0"/>
        <v>0</v>
      </c>
    </row>
    <row r="34" spans="1:7" ht="48" x14ac:dyDescent="0.2">
      <c r="A34" s="3" t="s">
        <v>2005</v>
      </c>
      <c r="B34" s="3" t="s">
        <v>2133</v>
      </c>
      <c r="C34" t="s">
        <v>2082</v>
      </c>
      <c r="D34"/>
      <c r="F34">
        <f t="shared" si="0"/>
        <v>0</v>
      </c>
      <c r="G34">
        <f t="shared" si="0"/>
        <v>0</v>
      </c>
    </row>
    <row r="35" spans="1:7" ht="48" x14ac:dyDescent="0.2">
      <c r="A35" s="3" t="s">
        <v>2006</v>
      </c>
      <c r="B35" s="3" t="s">
        <v>2134</v>
      </c>
      <c r="C35" t="s">
        <v>221</v>
      </c>
      <c r="D35"/>
      <c r="F35">
        <f t="shared" si="0"/>
        <v>0</v>
      </c>
      <c r="G35">
        <f t="shared" si="0"/>
        <v>0</v>
      </c>
    </row>
    <row r="36" spans="1:7" ht="48" x14ac:dyDescent="0.2">
      <c r="A36" s="3" t="s">
        <v>2007</v>
      </c>
      <c r="B36" s="3" t="s">
        <v>2135</v>
      </c>
      <c r="C36" t="s">
        <v>109</v>
      </c>
      <c r="D36"/>
      <c r="F36">
        <f t="shared" si="0"/>
        <v>0</v>
      </c>
      <c r="G36">
        <f t="shared" si="0"/>
        <v>0</v>
      </c>
    </row>
    <row r="37" spans="1:7" ht="48" x14ac:dyDescent="0.2">
      <c r="A37" s="3" t="s">
        <v>2008</v>
      </c>
      <c r="B37" s="3" t="s">
        <v>2136</v>
      </c>
      <c r="C37" t="s">
        <v>67</v>
      </c>
      <c r="D37"/>
      <c r="F37">
        <f t="shared" si="0"/>
        <v>0</v>
      </c>
      <c r="G37">
        <f t="shared" si="0"/>
        <v>0</v>
      </c>
    </row>
    <row r="38" spans="1:7" ht="64" x14ac:dyDescent="0.2">
      <c r="A38" s="3" t="s">
        <v>2009</v>
      </c>
      <c r="B38" s="3" t="s">
        <v>2137</v>
      </c>
      <c r="C38" t="s">
        <v>236</v>
      </c>
      <c r="D38"/>
      <c r="F38">
        <f t="shared" si="0"/>
        <v>0</v>
      </c>
      <c r="G38">
        <f t="shared" si="0"/>
        <v>0</v>
      </c>
    </row>
    <row r="39" spans="1:7" ht="64" x14ac:dyDescent="0.2">
      <c r="A39" s="3" t="s">
        <v>2010</v>
      </c>
      <c r="B39" s="3" t="s">
        <v>2138</v>
      </c>
      <c r="C39" t="s">
        <v>668</v>
      </c>
      <c r="D39"/>
      <c r="F39">
        <f t="shared" si="0"/>
        <v>0</v>
      </c>
      <c r="G39">
        <f t="shared" si="0"/>
        <v>0</v>
      </c>
    </row>
    <row r="40" spans="1:7" ht="64" x14ac:dyDescent="0.2">
      <c r="A40" s="3" t="s">
        <v>2011</v>
      </c>
      <c r="B40" s="3" t="s">
        <v>2139</v>
      </c>
      <c r="C40" t="s">
        <v>2083</v>
      </c>
      <c r="D40"/>
      <c r="F40">
        <f t="shared" si="0"/>
        <v>0</v>
      </c>
      <c r="G40">
        <f t="shared" si="0"/>
        <v>0</v>
      </c>
    </row>
    <row r="41" spans="1:7" ht="64" x14ac:dyDescent="0.2">
      <c r="A41" s="3" t="s">
        <v>2012</v>
      </c>
      <c r="B41" s="3" t="s">
        <v>2140</v>
      </c>
      <c r="C41" t="s">
        <v>133</v>
      </c>
      <c r="D41"/>
      <c r="F41">
        <f t="shared" si="0"/>
        <v>0</v>
      </c>
      <c r="G41">
        <f t="shared" si="0"/>
        <v>0</v>
      </c>
    </row>
    <row r="42" spans="1:7" ht="64" x14ac:dyDescent="0.2">
      <c r="A42" s="3" t="s">
        <v>2013</v>
      </c>
      <c r="B42" s="3" t="s">
        <v>2141</v>
      </c>
      <c r="C42" t="s">
        <v>2084</v>
      </c>
      <c r="D42"/>
      <c r="F42">
        <f t="shared" si="0"/>
        <v>0</v>
      </c>
      <c r="G42">
        <f t="shared" si="0"/>
        <v>0</v>
      </c>
    </row>
    <row r="43" spans="1:7" ht="64" x14ac:dyDescent="0.2">
      <c r="A43" s="3" t="s">
        <v>2014</v>
      </c>
      <c r="B43" s="3" t="s">
        <v>2142</v>
      </c>
      <c r="C43" t="s">
        <v>79</v>
      </c>
      <c r="D43"/>
      <c r="F43">
        <f t="shared" si="0"/>
        <v>0</v>
      </c>
      <c r="G43">
        <f t="shared" si="0"/>
        <v>0</v>
      </c>
    </row>
    <row r="44" spans="1:7" ht="64" x14ac:dyDescent="0.2">
      <c r="A44" s="3" t="s">
        <v>2015</v>
      </c>
      <c r="B44" s="3" t="s">
        <v>2143</v>
      </c>
      <c r="C44" t="s">
        <v>2085</v>
      </c>
      <c r="D44"/>
      <c r="E44" t="s">
        <v>49</v>
      </c>
      <c r="F44">
        <f t="shared" si="0"/>
        <v>0</v>
      </c>
      <c r="G44">
        <f t="shared" si="0"/>
        <v>1</v>
      </c>
    </row>
    <row r="45" spans="1:7" ht="48" x14ac:dyDescent="0.2">
      <c r="A45" s="3" t="s">
        <v>2016</v>
      </c>
      <c r="B45" s="3" t="s">
        <v>2144</v>
      </c>
      <c r="C45" t="s">
        <v>2086</v>
      </c>
      <c r="D45" t="s">
        <v>194</v>
      </c>
      <c r="E45" t="s">
        <v>117</v>
      </c>
      <c r="F45">
        <f t="shared" si="0"/>
        <v>1</v>
      </c>
      <c r="G45">
        <f t="shared" si="0"/>
        <v>1</v>
      </c>
    </row>
    <row r="46" spans="1:7" ht="64" x14ac:dyDescent="0.2">
      <c r="A46" s="3" t="s">
        <v>2017</v>
      </c>
      <c r="B46" s="3" t="s">
        <v>2145</v>
      </c>
      <c r="C46" t="s">
        <v>15</v>
      </c>
      <c r="D46"/>
      <c r="F46">
        <f t="shared" si="0"/>
        <v>0</v>
      </c>
      <c r="G46">
        <f t="shared" si="0"/>
        <v>0</v>
      </c>
    </row>
    <row r="47" spans="1:7" ht="48" x14ac:dyDescent="0.2">
      <c r="A47" s="3" t="s">
        <v>2018</v>
      </c>
      <c r="B47" s="3" t="s">
        <v>2146</v>
      </c>
      <c r="C47" t="s">
        <v>2087</v>
      </c>
      <c r="D47"/>
      <c r="F47">
        <f t="shared" si="0"/>
        <v>0</v>
      </c>
      <c r="G47">
        <f t="shared" si="0"/>
        <v>0</v>
      </c>
    </row>
    <row r="48" spans="1:7" ht="48" x14ac:dyDescent="0.2">
      <c r="A48" s="3" t="s">
        <v>2019</v>
      </c>
      <c r="B48" s="3" t="s">
        <v>2147</v>
      </c>
      <c r="C48" t="s">
        <v>122</v>
      </c>
      <c r="D48"/>
      <c r="F48">
        <f t="shared" si="0"/>
        <v>0</v>
      </c>
      <c r="G48">
        <f t="shared" si="0"/>
        <v>0</v>
      </c>
    </row>
    <row r="49" spans="1:7" ht="48" x14ac:dyDescent="0.2">
      <c r="A49" s="3" t="s">
        <v>2020</v>
      </c>
      <c r="B49" s="3" t="s">
        <v>2148</v>
      </c>
      <c r="C49" t="s">
        <v>220</v>
      </c>
      <c r="D49"/>
      <c r="F49">
        <f t="shared" si="0"/>
        <v>0</v>
      </c>
      <c r="G49">
        <f t="shared" si="0"/>
        <v>0</v>
      </c>
    </row>
    <row r="50" spans="1:7" ht="48" x14ac:dyDescent="0.2">
      <c r="A50" s="3" t="s">
        <v>2021</v>
      </c>
      <c r="B50" s="3" t="s">
        <v>2149</v>
      </c>
      <c r="C50" t="s">
        <v>11</v>
      </c>
      <c r="D50"/>
      <c r="F50">
        <f t="shared" si="0"/>
        <v>0</v>
      </c>
      <c r="G50">
        <f t="shared" si="0"/>
        <v>0</v>
      </c>
    </row>
    <row r="51" spans="1:7" ht="48" x14ac:dyDescent="0.2">
      <c r="A51" s="3" t="s">
        <v>2022</v>
      </c>
      <c r="B51" s="3" t="s">
        <v>2150</v>
      </c>
      <c r="C51" t="s">
        <v>29</v>
      </c>
      <c r="D51"/>
      <c r="F51">
        <f t="shared" si="0"/>
        <v>0</v>
      </c>
      <c r="G51">
        <f t="shared" si="0"/>
        <v>0</v>
      </c>
    </row>
    <row r="52" spans="1:7" ht="64" x14ac:dyDescent="0.2">
      <c r="A52" s="3" t="s">
        <v>2023</v>
      </c>
      <c r="B52" s="3" t="s">
        <v>2151</v>
      </c>
      <c r="C52" t="s">
        <v>1850</v>
      </c>
      <c r="D52"/>
      <c r="F52">
        <f t="shared" si="0"/>
        <v>0</v>
      </c>
      <c r="G52">
        <f t="shared" si="0"/>
        <v>0</v>
      </c>
    </row>
    <row r="53" spans="1:7" ht="48" x14ac:dyDescent="0.2">
      <c r="A53" s="3" t="s">
        <v>2024</v>
      </c>
      <c r="B53" s="3" t="s">
        <v>2152</v>
      </c>
      <c r="C53" t="s">
        <v>68</v>
      </c>
      <c r="D53"/>
      <c r="F53">
        <f t="shared" si="0"/>
        <v>0</v>
      </c>
      <c r="G53">
        <f t="shared" si="0"/>
        <v>0</v>
      </c>
    </row>
    <row r="54" spans="1:7" ht="64" x14ac:dyDescent="0.2">
      <c r="A54" s="3" t="s">
        <v>2025</v>
      </c>
      <c r="B54" s="3" t="s">
        <v>2153</v>
      </c>
      <c r="C54" t="s">
        <v>76</v>
      </c>
      <c r="D54"/>
      <c r="F54">
        <f t="shared" si="0"/>
        <v>0</v>
      </c>
      <c r="G54">
        <f t="shared" si="0"/>
        <v>0</v>
      </c>
    </row>
    <row r="55" spans="1:7" ht="48" x14ac:dyDescent="0.2">
      <c r="A55" s="3" t="s">
        <v>2026</v>
      </c>
      <c r="B55" s="3" t="s">
        <v>2154</v>
      </c>
      <c r="C55" t="s">
        <v>2088</v>
      </c>
      <c r="D55"/>
      <c r="F55">
        <f t="shared" si="0"/>
        <v>0</v>
      </c>
      <c r="G55">
        <f t="shared" si="0"/>
        <v>0</v>
      </c>
    </row>
    <row r="56" spans="1:7" ht="64" x14ac:dyDescent="0.2">
      <c r="A56" s="3" t="s">
        <v>2027</v>
      </c>
      <c r="B56" s="3" t="s">
        <v>2155</v>
      </c>
      <c r="C56" t="s">
        <v>70</v>
      </c>
      <c r="D56"/>
      <c r="F56">
        <f t="shared" si="0"/>
        <v>0</v>
      </c>
      <c r="G56">
        <f t="shared" si="0"/>
        <v>0</v>
      </c>
    </row>
    <row r="57" spans="1:7" ht="64" x14ac:dyDescent="0.2">
      <c r="A57" s="3" t="s">
        <v>2028</v>
      </c>
      <c r="B57" s="3" t="s">
        <v>2156</v>
      </c>
      <c r="C57" t="s">
        <v>2089</v>
      </c>
      <c r="D57"/>
      <c r="F57">
        <f t="shared" si="0"/>
        <v>0</v>
      </c>
      <c r="G57">
        <f t="shared" si="0"/>
        <v>0</v>
      </c>
    </row>
    <row r="58" spans="1:7" ht="64" x14ac:dyDescent="0.2">
      <c r="A58" s="3" t="s">
        <v>2029</v>
      </c>
      <c r="B58" s="3" t="s">
        <v>2157</v>
      </c>
      <c r="C58" t="s">
        <v>15</v>
      </c>
      <c r="D58"/>
      <c r="F58">
        <f t="shared" si="0"/>
        <v>0</v>
      </c>
      <c r="G58">
        <f t="shared" si="0"/>
        <v>0</v>
      </c>
    </row>
    <row r="59" spans="1:7" ht="48" x14ac:dyDescent="0.2">
      <c r="A59" s="3" t="s">
        <v>2030</v>
      </c>
      <c r="B59" s="3" t="s">
        <v>2158</v>
      </c>
      <c r="C59" t="s">
        <v>264</v>
      </c>
      <c r="D59"/>
      <c r="F59">
        <f t="shared" si="0"/>
        <v>0</v>
      </c>
      <c r="G59">
        <f t="shared" si="0"/>
        <v>0</v>
      </c>
    </row>
    <row r="60" spans="1:7" ht="64" x14ac:dyDescent="0.2">
      <c r="A60" s="3" t="s">
        <v>2031</v>
      </c>
      <c r="B60" s="3" t="s">
        <v>2159</v>
      </c>
      <c r="C60" t="s">
        <v>2090</v>
      </c>
      <c r="D60"/>
      <c r="F60">
        <f t="shared" si="0"/>
        <v>0</v>
      </c>
      <c r="G60">
        <f t="shared" si="0"/>
        <v>0</v>
      </c>
    </row>
    <row r="61" spans="1:7" ht="48" x14ac:dyDescent="0.2">
      <c r="A61" s="3" t="s">
        <v>2032</v>
      </c>
      <c r="B61" s="3" t="s">
        <v>2160</v>
      </c>
      <c r="C61" t="s">
        <v>11</v>
      </c>
      <c r="D61"/>
      <c r="F61">
        <f t="shared" si="0"/>
        <v>0</v>
      </c>
      <c r="G61">
        <f t="shared" si="0"/>
        <v>0</v>
      </c>
    </row>
    <row r="62" spans="1:7" ht="64" x14ac:dyDescent="0.2">
      <c r="A62" s="3" t="s">
        <v>2033</v>
      </c>
      <c r="B62" s="3" t="s">
        <v>2161</v>
      </c>
      <c r="C62" t="s">
        <v>191</v>
      </c>
      <c r="D62"/>
      <c r="F62">
        <f t="shared" si="0"/>
        <v>0</v>
      </c>
      <c r="G62">
        <f t="shared" si="0"/>
        <v>0</v>
      </c>
    </row>
    <row r="63" spans="1:7" ht="64" x14ac:dyDescent="0.2">
      <c r="A63" s="3" t="s">
        <v>2034</v>
      </c>
      <c r="B63" s="3" t="s">
        <v>2162</v>
      </c>
      <c r="C63" t="s">
        <v>33</v>
      </c>
      <c r="D63"/>
      <c r="F63">
        <f t="shared" si="0"/>
        <v>0</v>
      </c>
      <c r="G63">
        <f t="shared" si="0"/>
        <v>0</v>
      </c>
    </row>
    <row r="64" spans="1:7" ht="64" x14ac:dyDescent="0.2">
      <c r="A64" s="3" t="s">
        <v>2035</v>
      </c>
      <c r="B64" s="3" t="s">
        <v>2163</v>
      </c>
      <c r="C64" t="s">
        <v>37</v>
      </c>
      <c r="D64"/>
      <c r="F64">
        <f t="shared" si="0"/>
        <v>0</v>
      </c>
      <c r="G64">
        <f t="shared" si="0"/>
        <v>0</v>
      </c>
    </row>
    <row r="65" spans="1:7" ht="64" x14ac:dyDescent="0.2">
      <c r="A65" s="3" t="s">
        <v>2036</v>
      </c>
      <c r="B65" s="3" t="s">
        <v>2164</v>
      </c>
      <c r="C65" t="s">
        <v>11</v>
      </c>
      <c r="D65"/>
      <c r="F65">
        <f t="shared" si="0"/>
        <v>0</v>
      </c>
      <c r="G65">
        <f t="shared" si="0"/>
        <v>0</v>
      </c>
    </row>
    <row r="66" spans="1:7" ht="64" x14ac:dyDescent="0.2">
      <c r="A66" s="3" t="s">
        <v>2037</v>
      </c>
      <c r="B66" s="3" t="s">
        <v>2165</v>
      </c>
      <c r="C66" t="s">
        <v>33</v>
      </c>
      <c r="D66"/>
      <c r="F66">
        <f t="shared" si="0"/>
        <v>0</v>
      </c>
      <c r="G66">
        <f t="shared" si="0"/>
        <v>0</v>
      </c>
    </row>
    <row r="67" spans="1:7" ht="64" x14ac:dyDescent="0.2">
      <c r="A67" s="3" t="s">
        <v>2038</v>
      </c>
      <c r="B67" s="3" t="s">
        <v>2166</v>
      </c>
      <c r="C67" t="s">
        <v>275</v>
      </c>
      <c r="D67"/>
      <c r="F67">
        <f t="shared" ref="F67:G101" si="1">IF(D67="",0,1)</f>
        <v>0</v>
      </c>
      <c r="G67">
        <f t="shared" si="1"/>
        <v>0</v>
      </c>
    </row>
    <row r="68" spans="1:7" ht="48" x14ac:dyDescent="0.2">
      <c r="A68" s="3" t="s">
        <v>2039</v>
      </c>
      <c r="B68" s="3" t="s">
        <v>2167</v>
      </c>
      <c r="C68" t="s">
        <v>2091</v>
      </c>
      <c r="D68"/>
      <c r="F68">
        <f t="shared" si="1"/>
        <v>0</v>
      </c>
      <c r="G68">
        <f t="shared" si="1"/>
        <v>0</v>
      </c>
    </row>
    <row r="69" spans="1:7" ht="64" x14ac:dyDescent="0.2">
      <c r="A69" s="3" t="s">
        <v>2040</v>
      </c>
      <c r="B69" s="3" t="s">
        <v>2168</v>
      </c>
      <c r="C69" t="s">
        <v>2092</v>
      </c>
      <c r="D69"/>
      <c r="F69">
        <f t="shared" si="1"/>
        <v>0</v>
      </c>
      <c r="G69">
        <f t="shared" si="1"/>
        <v>0</v>
      </c>
    </row>
    <row r="70" spans="1:7" ht="64" x14ac:dyDescent="0.2">
      <c r="A70" s="3" t="s">
        <v>2041</v>
      </c>
      <c r="B70" s="3" t="s">
        <v>2169</v>
      </c>
      <c r="C70" t="s">
        <v>2</v>
      </c>
      <c r="D70"/>
      <c r="F70">
        <f t="shared" si="1"/>
        <v>0</v>
      </c>
      <c r="G70">
        <f t="shared" si="1"/>
        <v>0</v>
      </c>
    </row>
    <row r="71" spans="1:7" ht="64" x14ac:dyDescent="0.2">
      <c r="A71" s="3" t="s">
        <v>2042</v>
      </c>
      <c r="B71" s="3" t="s">
        <v>2170</v>
      </c>
      <c r="C71" t="s">
        <v>22</v>
      </c>
      <c r="D71"/>
      <c r="F71">
        <f t="shared" si="1"/>
        <v>0</v>
      </c>
      <c r="G71">
        <f t="shared" si="1"/>
        <v>0</v>
      </c>
    </row>
    <row r="72" spans="1:7" ht="64" x14ac:dyDescent="0.2">
      <c r="A72" s="3" t="s">
        <v>2043</v>
      </c>
      <c r="B72" s="3" t="s">
        <v>2171</v>
      </c>
      <c r="C72" t="s">
        <v>2093</v>
      </c>
      <c r="D72"/>
      <c r="F72">
        <f t="shared" si="1"/>
        <v>0</v>
      </c>
      <c r="G72">
        <f t="shared" si="1"/>
        <v>0</v>
      </c>
    </row>
    <row r="73" spans="1:7" ht="64" x14ac:dyDescent="0.2">
      <c r="A73" s="3" t="s">
        <v>2044</v>
      </c>
      <c r="B73" s="3" t="s">
        <v>2172</v>
      </c>
      <c r="C73" t="s">
        <v>2094</v>
      </c>
      <c r="D73"/>
      <c r="F73">
        <f t="shared" si="1"/>
        <v>0</v>
      </c>
      <c r="G73">
        <f t="shared" si="1"/>
        <v>0</v>
      </c>
    </row>
    <row r="74" spans="1:7" ht="64" x14ac:dyDescent="0.2">
      <c r="A74" s="3" t="s">
        <v>2045</v>
      </c>
      <c r="B74" s="3" t="s">
        <v>2173</v>
      </c>
      <c r="C74" t="s">
        <v>114</v>
      </c>
      <c r="D74"/>
      <c r="F74">
        <f t="shared" si="1"/>
        <v>0</v>
      </c>
      <c r="G74">
        <f t="shared" si="1"/>
        <v>0</v>
      </c>
    </row>
    <row r="75" spans="1:7" ht="64" x14ac:dyDescent="0.2">
      <c r="A75" s="3" t="s">
        <v>2046</v>
      </c>
      <c r="B75" s="3" t="s">
        <v>2174</v>
      </c>
      <c r="C75" t="s">
        <v>2081</v>
      </c>
      <c r="D75"/>
      <c r="F75">
        <f t="shared" si="1"/>
        <v>0</v>
      </c>
      <c r="G75">
        <f t="shared" si="1"/>
        <v>0</v>
      </c>
    </row>
    <row r="76" spans="1:7" ht="64" x14ac:dyDescent="0.2">
      <c r="A76" s="3" t="s">
        <v>2047</v>
      </c>
      <c r="B76" s="3" t="s">
        <v>2175</v>
      </c>
      <c r="C76" t="s">
        <v>5</v>
      </c>
      <c r="D76"/>
      <c r="F76">
        <f t="shared" si="1"/>
        <v>0</v>
      </c>
      <c r="G76">
        <f t="shared" si="1"/>
        <v>0</v>
      </c>
    </row>
    <row r="77" spans="1:7" ht="48" x14ac:dyDescent="0.2">
      <c r="A77" s="3" t="s">
        <v>2048</v>
      </c>
      <c r="B77" s="3" t="s">
        <v>2176</v>
      </c>
      <c r="C77" t="s">
        <v>140</v>
      </c>
      <c r="D77"/>
      <c r="F77">
        <f t="shared" si="1"/>
        <v>0</v>
      </c>
      <c r="G77">
        <f t="shared" si="1"/>
        <v>0</v>
      </c>
    </row>
    <row r="78" spans="1:7" ht="64" x14ac:dyDescent="0.2">
      <c r="A78" s="3" t="s">
        <v>2049</v>
      </c>
      <c r="B78" s="3" t="s">
        <v>2177</v>
      </c>
      <c r="C78" t="s">
        <v>17</v>
      </c>
      <c r="D78"/>
      <c r="F78">
        <f t="shared" si="1"/>
        <v>0</v>
      </c>
      <c r="G78">
        <f t="shared" si="1"/>
        <v>0</v>
      </c>
    </row>
    <row r="79" spans="1:7" ht="48" x14ac:dyDescent="0.2">
      <c r="A79" s="3" t="s">
        <v>2050</v>
      </c>
      <c r="B79" s="3" t="s">
        <v>2178</v>
      </c>
      <c r="C79" t="s">
        <v>2095</v>
      </c>
      <c r="D79" t="s">
        <v>89</v>
      </c>
      <c r="F79">
        <f t="shared" si="1"/>
        <v>1</v>
      </c>
      <c r="G79">
        <f t="shared" si="1"/>
        <v>0</v>
      </c>
    </row>
    <row r="80" spans="1:7" ht="64" x14ac:dyDescent="0.2">
      <c r="A80" s="3" t="s">
        <v>2051</v>
      </c>
      <c r="B80" s="3" t="s">
        <v>2179</v>
      </c>
      <c r="C80" t="s">
        <v>62</v>
      </c>
      <c r="D80"/>
      <c r="F80">
        <f t="shared" si="1"/>
        <v>0</v>
      </c>
      <c r="G80">
        <f t="shared" si="1"/>
        <v>0</v>
      </c>
    </row>
    <row r="81" spans="1:7" ht="48" x14ac:dyDescent="0.2">
      <c r="A81" s="3" t="s">
        <v>2052</v>
      </c>
      <c r="B81" s="3" t="s">
        <v>2180</v>
      </c>
      <c r="C81" t="s">
        <v>24</v>
      </c>
      <c r="D81"/>
      <c r="F81">
        <f t="shared" si="1"/>
        <v>0</v>
      </c>
      <c r="G81">
        <f t="shared" si="1"/>
        <v>0</v>
      </c>
    </row>
    <row r="82" spans="1:7" ht="32" x14ac:dyDescent="0.2">
      <c r="A82" s="3" t="s">
        <v>2053</v>
      </c>
      <c r="B82" s="3" t="s">
        <v>2181</v>
      </c>
      <c r="C82" t="s">
        <v>20</v>
      </c>
      <c r="D82"/>
      <c r="F82">
        <f t="shared" si="1"/>
        <v>0</v>
      </c>
      <c r="G82">
        <f t="shared" si="1"/>
        <v>0</v>
      </c>
    </row>
    <row r="83" spans="1:7" ht="48" x14ac:dyDescent="0.2">
      <c r="A83" s="3" t="s">
        <v>2054</v>
      </c>
      <c r="B83" s="3" t="s">
        <v>2182</v>
      </c>
      <c r="C83" t="s">
        <v>66</v>
      </c>
      <c r="D83"/>
      <c r="F83">
        <f t="shared" si="1"/>
        <v>0</v>
      </c>
      <c r="G83">
        <f t="shared" si="1"/>
        <v>0</v>
      </c>
    </row>
    <row r="84" spans="1:7" ht="64" x14ac:dyDescent="0.2">
      <c r="A84" s="3" t="s">
        <v>2055</v>
      </c>
      <c r="B84" s="3" t="s">
        <v>2183</v>
      </c>
      <c r="C84" t="s">
        <v>42</v>
      </c>
      <c r="D84"/>
      <c r="F84">
        <f t="shared" si="1"/>
        <v>0</v>
      </c>
      <c r="G84">
        <f t="shared" si="1"/>
        <v>0</v>
      </c>
    </row>
    <row r="85" spans="1:7" ht="64" x14ac:dyDescent="0.2">
      <c r="A85" s="3" t="s">
        <v>2056</v>
      </c>
      <c r="B85" s="3" t="s">
        <v>2184</v>
      </c>
      <c r="C85" t="s">
        <v>2096</v>
      </c>
      <c r="D85"/>
      <c r="F85">
        <f t="shared" si="1"/>
        <v>0</v>
      </c>
      <c r="G85">
        <f t="shared" si="1"/>
        <v>0</v>
      </c>
    </row>
    <row r="86" spans="1:7" ht="48" x14ac:dyDescent="0.2">
      <c r="A86" s="3" t="s">
        <v>2057</v>
      </c>
      <c r="B86" s="7" t="s">
        <v>2185</v>
      </c>
      <c r="C86" t="s">
        <v>150</v>
      </c>
      <c r="D86"/>
      <c r="F86">
        <f t="shared" si="1"/>
        <v>0</v>
      </c>
      <c r="G86">
        <f t="shared" si="1"/>
        <v>0</v>
      </c>
    </row>
    <row r="87" spans="1:7" ht="48" x14ac:dyDescent="0.2">
      <c r="A87" s="3" t="s">
        <v>2058</v>
      </c>
      <c r="B87" s="7" t="s">
        <v>2186</v>
      </c>
      <c r="C87" t="s">
        <v>1165</v>
      </c>
      <c r="D87"/>
      <c r="E87" t="s">
        <v>48</v>
      </c>
      <c r="F87">
        <f t="shared" si="1"/>
        <v>0</v>
      </c>
      <c r="G87">
        <f t="shared" si="1"/>
        <v>1</v>
      </c>
    </row>
    <row r="88" spans="1:7" ht="64" x14ac:dyDescent="0.2">
      <c r="A88" s="3" t="s">
        <v>2059</v>
      </c>
      <c r="B88" s="7" t="s">
        <v>2187</v>
      </c>
      <c r="C88" t="s">
        <v>5</v>
      </c>
      <c r="D88"/>
      <c r="F88">
        <f t="shared" si="1"/>
        <v>0</v>
      </c>
      <c r="G88">
        <f t="shared" si="1"/>
        <v>0</v>
      </c>
    </row>
    <row r="89" spans="1:7" ht="64" x14ac:dyDescent="0.2">
      <c r="A89" s="3" t="s">
        <v>2060</v>
      </c>
      <c r="B89" s="7" t="s">
        <v>2188</v>
      </c>
      <c r="C89" t="s">
        <v>2097</v>
      </c>
      <c r="D89"/>
      <c r="F89">
        <f t="shared" si="1"/>
        <v>0</v>
      </c>
      <c r="G89">
        <f t="shared" si="1"/>
        <v>0</v>
      </c>
    </row>
    <row r="90" spans="1:7" ht="48" x14ac:dyDescent="0.2">
      <c r="A90" s="3" t="s">
        <v>2061</v>
      </c>
      <c r="B90" s="7" t="s">
        <v>2189</v>
      </c>
      <c r="C90" t="s">
        <v>68</v>
      </c>
      <c r="D90"/>
      <c r="F90">
        <f t="shared" si="1"/>
        <v>0</v>
      </c>
      <c r="G90">
        <f t="shared" si="1"/>
        <v>0</v>
      </c>
    </row>
    <row r="91" spans="1:7" ht="64" x14ac:dyDescent="0.2">
      <c r="A91" s="3" t="s">
        <v>2062</v>
      </c>
      <c r="B91" s="7" t="s">
        <v>2190</v>
      </c>
      <c r="C91" t="s">
        <v>2098</v>
      </c>
      <c r="D91"/>
      <c r="E91" t="s">
        <v>87</v>
      </c>
      <c r="F91">
        <f t="shared" si="1"/>
        <v>0</v>
      </c>
      <c r="G91">
        <f t="shared" si="1"/>
        <v>1</v>
      </c>
    </row>
    <row r="92" spans="1:7" ht="64" x14ac:dyDescent="0.2">
      <c r="A92" s="3" t="s">
        <v>2063</v>
      </c>
      <c r="B92" s="7" t="s">
        <v>2191</v>
      </c>
      <c r="C92" t="s">
        <v>208</v>
      </c>
      <c r="D92"/>
      <c r="F92">
        <f t="shared" si="1"/>
        <v>0</v>
      </c>
      <c r="G92">
        <f t="shared" si="1"/>
        <v>0</v>
      </c>
    </row>
    <row r="93" spans="1:7" ht="64" x14ac:dyDescent="0.2">
      <c r="A93" s="3" t="s">
        <v>2064</v>
      </c>
      <c r="B93" s="7" t="s">
        <v>2192</v>
      </c>
      <c r="C93" t="s">
        <v>15</v>
      </c>
      <c r="D93"/>
      <c r="F93">
        <f t="shared" si="1"/>
        <v>0</v>
      </c>
      <c r="G93">
        <f t="shared" si="1"/>
        <v>0</v>
      </c>
    </row>
    <row r="94" spans="1:7" ht="48" x14ac:dyDescent="0.2">
      <c r="A94" s="3" t="s">
        <v>2065</v>
      </c>
      <c r="B94" s="7" t="s">
        <v>2193</v>
      </c>
      <c r="C94" t="s">
        <v>666</v>
      </c>
      <c r="D94"/>
      <c r="E94" t="s">
        <v>196</v>
      </c>
      <c r="F94">
        <f t="shared" si="1"/>
        <v>0</v>
      </c>
      <c r="G94">
        <f t="shared" si="1"/>
        <v>1</v>
      </c>
    </row>
    <row r="95" spans="1:7" ht="48" x14ac:dyDescent="0.2">
      <c r="A95" s="3" t="s">
        <v>2066</v>
      </c>
      <c r="B95" s="7" t="s">
        <v>2194</v>
      </c>
      <c r="C95" t="s">
        <v>77</v>
      </c>
      <c r="D95"/>
      <c r="F95">
        <f t="shared" si="1"/>
        <v>0</v>
      </c>
      <c r="G95">
        <f t="shared" si="1"/>
        <v>0</v>
      </c>
    </row>
    <row r="96" spans="1:7" ht="64" x14ac:dyDescent="0.2">
      <c r="A96" s="3" t="s">
        <v>2067</v>
      </c>
      <c r="B96" s="7" t="s">
        <v>2195</v>
      </c>
      <c r="C96" t="s">
        <v>2099</v>
      </c>
      <c r="D96"/>
      <c r="F96">
        <f t="shared" si="1"/>
        <v>0</v>
      </c>
      <c r="G96">
        <f t="shared" si="1"/>
        <v>0</v>
      </c>
    </row>
    <row r="97" spans="1:7" ht="64" x14ac:dyDescent="0.2">
      <c r="A97" s="3" t="s">
        <v>2068</v>
      </c>
      <c r="B97" s="7" t="s">
        <v>2196</v>
      </c>
      <c r="C97" t="s">
        <v>15</v>
      </c>
      <c r="D97"/>
      <c r="F97">
        <f t="shared" si="1"/>
        <v>0</v>
      </c>
      <c r="G97">
        <f t="shared" si="1"/>
        <v>0</v>
      </c>
    </row>
    <row r="98" spans="1:7" ht="80" x14ac:dyDescent="0.2">
      <c r="A98" s="3" t="s">
        <v>2069</v>
      </c>
      <c r="B98" s="7" t="s">
        <v>2197</v>
      </c>
      <c r="C98" t="s">
        <v>1132</v>
      </c>
      <c r="D98"/>
      <c r="F98">
        <f t="shared" si="1"/>
        <v>0</v>
      </c>
      <c r="G98">
        <f t="shared" si="1"/>
        <v>0</v>
      </c>
    </row>
    <row r="99" spans="1:7" ht="64" x14ac:dyDescent="0.2">
      <c r="A99" s="3" t="s">
        <v>2070</v>
      </c>
      <c r="B99" s="7" t="s">
        <v>2198</v>
      </c>
      <c r="C99" t="s">
        <v>30</v>
      </c>
      <c r="D99" t="s">
        <v>280</v>
      </c>
      <c r="F99">
        <f t="shared" si="1"/>
        <v>1</v>
      </c>
      <c r="G99">
        <f t="shared" si="1"/>
        <v>0</v>
      </c>
    </row>
    <row r="100" spans="1:7" ht="48" x14ac:dyDescent="0.2">
      <c r="A100" s="3" t="s">
        <v>2071</v>
      </c>
      <c r="B100" s="7" t="s">
        <v>2199</v>
      </c>
      <c r="C100" t="s">
        <v>60</v>
      </c>
      <c r="D100"/>
      <c r="F100">
        <f t="shared" si="1"/>
        <v>0</v>
      </c>
      <c r="G100">
        <f t="shared" si="1"/>
        <v>0</v>
      </c>
    </row>
    <row r="101" spans="1:7" ht="64" x14ac:dyDescent="0.2">
      <c r="A101" s="3" t="s">
        <v>2072</v>
      </c>
      <c r="B101" s="7" t="s">
        <v>2200</v>
      </c>
      <c r="C101" t="s">
        <v>2100</v>
      </c>
      <c r="D101"/>
      <c r="F101">
        <f t="shared" si="1"/>
        <v>0</v>
      </c>
      <c r="G101">
        <f t="shared" si="1"/>
        <v>0</v>
      </c>
    </row>
    <row r="103" spans="1:7" x14ac:dyDescent="0.2">
      <c r="F103" s="10">
        <f>SUM(F2:F101)</f>
        <v>4</v>
      </c>
      <c r="G103" s="10">
        <f>SUM(G2:G101)</f>
        <v>5</v>
      </c>
    </row>
  </sheetData>
  <sortState xmlns:xlrd2="http://schemas.microsoft.com/office/spreadsheetml/2017/richdata2" ref="A2:F101">
    <sortCondition ref="F2:F10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F1560-4361-1046-8EF8-C1FFE48A9F15}">
  <dimension ref="A1:F103"/>
  <sheetViews>
    <sheetView topLeftCell="A94" zoomScale="170" zoomScaleNormal="170" workbookViewId="0">
      <selection activeCell="J101" sqref="J101"/>
    </sheetView>
  </sheetViews>
  <sheetFormatPr baseColWidth="10" defaultRowHeight="15" x14ac:dyDescent="0.2"/>
  <cols>
    <col min="1" max="1" width="52.33203125" style="7" customWidth="1"/>
    <col min="2" max="3" width="15.1640625" style="9" customWidth="1"/>
    <col min="4" max="4" width="13.33203125" customWidth="1"/>
  </cols>
  <sheetData>
    <row r="1" spans="1:6" ht="16" x14ac:dyDescent="0.2">
      <c r="A1" s="2" t="s">
        <v>0</v>
      </c>
      <c r="B1" s="1" t="s">
        <v>1</v>
      </c>
      <c r="C1" s="8" t="s">
        <v>44</v>
      </c>
      <c r="D1" s="1" t="s">
        <v>45</v>
      </c>
      <c r="E1" s="1" t="s">
        <v>44</v>
      </c>
      <c r="F1" s="1" t="s">
        <v>45</v>
      </c>
    </row>
    <row r="2" spans="1:6" ht="48" x14ac:dyDescent="0.2">
      <c r="A2" s="3" t="s">
        <v>2202</v>
      </c>
      <c r="B2" t="s">
        <v>2203</v>
      </c>
      <c r="C2"/>
      <c r="E2">
        <f>IF(C2="",0,1)</f>
        <v>0</v>
      </c>
      <c r="F2">
        <f>IF(D2="",0,1)</f>
        <v>0</v>
      </c>
    </row>
    <row r="3" spans="1:6" ht="48" x14ac:dyDescent="0.2">
      <c r="A3" s="3" t="s">
        <v>2204</v>
      </c>
      <c r="B3" t="s">
        <v>2205</v>
      </c>
      <c r="C3"/>
      <c r="E3">
        <f t="shared" ref="E3:F66" si="0">IF(C3="",0,1)</f>
        <v>0</v>
      </c>
      <c r="F3">
        <f t="shared" si="0"/>
        <v>0</v>
      </c>
    </row>
    <row r="4" spans="1:6" ht="48" x14ac:dyDescent="0.2">
      <c r="A4" s="3" t="s">
        <v>2206</v>
      </c>
      <c r="B4" t="s">
        <v>902</v>
      </c>
      <c r="C4"/>
      <c r="E4">
        <f t="shared" si="0"/>
        <v>0</v>
      </c>
      <c r="F4">
        <f t="shared" si="0"/>
        <v>0</v>
      </c>
    </row>
    <row r="5" spans="1:6" ht="48" x14ac:dyDescent="0.2">
      <c r="A5" s="3" t="s">
        <v>2207</v>
      </c>
      <c r="B5" t="s">
        <v>232</v>
      </c>
      <c r="C5"/>
      <c r="E5">
        <f t="shared" si="0"/>
        <v>0</v>
      </c>
      <c r="F5">
        <f t="shared" si="0"/>
        <v>0</v>
      </c>
    </row>
    <row r="6" spans="1:6" ht="48" x14ac:dyDescent="0.2">
      <c r="A6" s="3" t="s">
        <v>2208</v>
      </c>
      <c r="B6" t="s">
        <v>2209</v>
      </c>
      <c r="C6"/>
      <c r="E6">
        <f t="shared" si="0"/>
        <v>0</v>
      </c>
      <c r="F6">
        <f t="shared" si="0"/>
        <v>0</v>
      </c>
    </row>
    <row r="7" spans="1:6" ht="48" x14ac:dyDescent="0.2">
      <c r="A7" s="3" t="s">
        <v>2210</v>
      </c>
      <c r="B7" t="s">
        <v>1371</v>
      </c>
      <c r="C7"/>
      <c r="E7">
        <f t="shared" si="0"/>
        <v>0</v>
      </c>
      <c r="F7">
        <f t="shared" si="0"/>
        <v>0</v>
      </c>
    </row>
    <row r="8" spans="1:6" ht="48" x14ac:dyDescent="0.2">
      <c r="A8" s="3" t="s">
        <v>2211</v>
      </c>
      <c r="B8" t="s">
        <v>18</v>
      </c>
      <c r="C8"/>
      <c r="E8">
        <f t="shared" si="0"/>
        <v>0</v>
      </c>
      <c r="F8">
        <f t="shared" si="0"/>
        <v>0</v>
      </c>
    </row>
    <row r="9" spans="1:6" ht="48" x14ac:dyDescent="0.2">
      <c r="A9" s="3" t="s">
        <v>2212</v>
      </c>
      <c r="B9" t="s">
        <v>2213</v>
      </c>
      <c r="C9"/>
      <c r="D9" t="s">
        <v>90</v>
      </c>
      <c r="E9">
        <f t="shared" si="0"/>
        <v>0</v>
      </c>
      <c r="F9">
        <f t="shared" si="0"/>
        <v>1</v>
      </c>
    </row>
    <row r="10" spans="1:6" ht="48" x14ac:dyDescent="0.2">
      <c r="A10" s="3" t="s">
        <v>2214</v>
      </c>
      <c r="B10" t="s">
        <v>229</v>
      </c>
      <c r="C10"/>
      <c r="E10">
        <f t="shared" si="0"/>
        <v>0</v>
      </c>
      <c r="F10">
        <f t="shared" si="0"/>
        <v>0</v>
      </c>
    </row>
    <row r="11" spans="1:6" ht="48" x14ac:dyDescent="0.2">
      <c r="A11" s="3" t="s">
        <v>2215</v>
      </c>
      <c r="B11" t="s">
        <v>2216</v>
      </c>
      <c r="C11"/>
      <c r="E11">
        <f t="shared" si="0"/>
        <v>0</v>
      </c>
      <c r="F11">
        <f t="shared" si="0"/>
        <v>0</v>
      </c>
    </row>
    <row r="12" spans="1:6" ht="48" x14ac:dyDescent="0.2">
      <c r="A12" s="3" t="s">
        <v>2217</v>
      </c>
      <c r="B12" t="s">
        <v>191</v>
      </c>
      <c r="C12"/>
      <c r="E12">
        <f t="shared" si="0"/>
        <v>0</v>
      </c>
      <c r="F12">
        <f t="shared" si="0"/>
        <v>0</v>
      </c>
    </row>
    <row r="13" spans="1:6" ht="48" x14ac:dyDescent="0.2">
      <c r="A13" s="3" t="s">
        <v>2218</v>
      </c>
      <c r="B13" t="s">
        <v>6</v>
      </c>
      <c r="C13"/>
      <c r="E13">
        <f t="shared" si="0"/>
        <v>0</v>
      </c>
      <c r="F13">
        <f t="shared" si="0"/>
        <v>0</v>
      </c>
    </row>
    <row r="14" spans="1:6" ht="48" x14ac:dyDescent="0.2">
      <c r="A14" s="3" t="s">
        <v>2219</v>
      </c>
      <c r="B14" t="s">
        <v>2220</v>
      </c>
      <c r="C14"/>
      <c r="E14">
        <f t="shared" si="0"/>
        <v>0</v>
      </c>
      <c r="F14">
        <f t="shared" si="0"/>
        <v>0</v>
      </c>
    </row>
    <row r="15" spans="1:6" ht="48" x14ac:dyDescent="0.2">
      <c r="A15" s="3" t="s">
        <v>2221</v>
      </c>
      <c r="B15" t="s">
        <v>2222</v>
      </c>
      <c r="C15"/>
      <c r="E15">
        <f t="shared" si="0"/>
        <v>0</v>
      </c>
      <c r="F15">
        <f t="shared" si="0"/>
        <v>0</v>
      </c>
    </row>
    <row r="16" spans="1:6" ht="64" x14ac:dyDescent="0.2">
      <c r="A16" s="3" t="s">
        <v>2223</v>
      </c>
      <c r="B16" t="s">
        <v>2224</v>
      </c>
      <c r="C16"/>
      <c r="E16">
        <f t="shared" si="0"/>
        <v>0</v>
      </c>
      <c r="F16">
        <f t="shared" si="0"/>
        <v>0</v>
      </c>
    </row>
    <row r="17" spans="1:6" ht="48" x14ac:dyDescent="0.2">
      <c r="A17" s="3" t="s">
        <v>2225</v>
      </c>
      <c r="B17" t="s">
        <v>294</v>
      </c>
      <c r="C17"/>
      <c r="E17">
        <f t="shared" si="0"/>
        <v>0</v>
      </c>
      <c r="F17">
        <f t="shared" si="0"/>
        <v>0</v>
      </c>
    </row>
    <row r="18" spans="1:6" ht="48" x14ac:dyDescent="0.2">
      <c r="A18" s="3" t="s">
        <v>2226</v>
      </c>
      <c r="B18" t="s">
        <v>645</v>
      </c>
      <c r="C18"/>
      <c r="E18">
        <f t="shared" si="0"/>
        <v>0</v>
      </c>
      <c r="F18">
        <f t="shared" si="0"/>
        <v>0</v>
      </c>
    </row>
    <row r="19" spans="1:6" ht="48" x14ac:dyDescent="0.2">
      <c r="A19" s="3" t="s">
        <v>2227</v>
      </c>
      <c r="B19" t="s">
        <v>27</v>
      </c>
      <c r="C19"/>
      <c r="E19">
        <f t="shared" si="0"/>
        <v>0</v>
      </c>
      <c r="F19">
        <f t="shared" si="0"/>
        <v>0</v>
      </c>
    </row>
    <row r="20" spans="1:6" ht="48" x14ac:dyDescent="0.2">
      <c r="A20" s="3" t="s">
        <v>2228</v>
      </c>
      <c r="B20" t="s">
        <v>219</v>
      </c>
      <c r="C20"/>
      <c r="E20">
        <f t="shared" si="0"/>
        <v>0</v>
      </c>
      <c r="F20">
        <f t="shared" si="0"/>
        <v>0</v>
      </c>
    </row>
    <row r="21" spans="1:6" ht="48" x14ac:dyDescent="0.2">
      <c r="A21" s="3" t="s">
        <v>2229</v>
      </c>
      <c r="B21" t="s">
        <v>2230</v>
      </c>
      <c r="C21"/>
      <c r="E21">
        <f t="shared" si="0"/>
        <v>0</v>
      </c>
      <c r="F21">
        <f t="shared" si="0"/>
        <v>0</v>
      </c>
    </row>
    <row r="22" spans="1:6" ht="48" x14ac:dyDescent="0.2">
      <c r="A22" s="3" t="s">
        <v>2231</v>
      </c>
      <c r="B22" t="s">
        <v>230</v>
      </c>
      <c r="C22"/>
      <c r="E22">
        <f t="shared" si="0"/>
        <v>0</v>
      </c>
      <c r="F22">
        <f t="shared" si="0"/>
        <v>0</v>
      </c>
    </row>
    <row r="23" spans="1:6" ht="48" x14ac:dyDescent="0.2">
      <c r="A23" s="3" t="s">
        <v>2232</v>
      </c>
      <c r="B23" t="s">
        <v>83</v>
      </c>
      <c r="C23"/>
      <c r="E23">
        <f t="shared" si="0"/>
        <v>0</v>
      </c>
      <c r="F23">
        <f t="shared" si="0"/>
        <v>0</v>
      </c>
    </row>
    <row r="24" spans="1:6" ht="48" x14ac:dyDescent="0.2">
      <c r="A24" s="3" t="s">
        <v>2233</v>
      </c>
      <c r="B24" t="s">
        <v>27</v>
      </c>
      <c r="C24"/>
      <c r="D24" t="s">
        <v>194</v>
      </c>
      <c r="E24">
        <f t="shared" si="0"/>
        <v>0</v>
      </c>
      <c r="F24">
        <f t="shared" si="0"/>
        <v>1</v>
      </c>
    </row>
    <row r="25" spans="1:6" ht="48" x14ac:dyDescent="0.2">
      <c r="A25" s="3" t="s">
        <v>2234</v>
      </c>
      <c r="B25" t="s">
        <v>115</v>
      </c>
      <c r="C25"/>
      <c r="E25">
        <f t="shared" si="0"/>
        <v>0</v>
      </c>
      <c r="F25">
        <f t="shared" si="0"/>
        <v>0</v>
      </c>
    </row>
    <row r="26" spans="1:6" ht="48" x14ac:dyDescent="0.2">
      <c r="A26" s="3" t="s">
        <v>2235</v>
      </c>
      <c r="B26" t="s">
        <v>36</v>
      </c>
      <c r="C26"/>
      <c r="E26">
        <f t="shared" si="0"/>
        <v>0</v>
      </c>
      <c r="F26">
        <f t="shared" si="0"/>
        <v>0</v>
      </c>
    </row>
    <row r="27" spans="1:6" ht="48" x14ac:dyDescent="0.2">
      <c r="A27" s="3" t="s">
        <v>2236</v>
      </c>
      <c r="B27" t="s">
        <v>206</v>
      </c>
      <c r="C27"/>
      <c r="E27">
        <f t="shared" si="0"/>
        <v>0</v>
      </c>
      <c r="F27">
        <f t="shared" si="0"/>
        <v>0</v>
      </c>
    </row>
    <row r="28" spans="1:6" ht="48" x14ac:dyDescent="0.2">
      <c r="A28" s="3" t="s">
        <v>2237</v>
      </c>
      <c r="B28" t="s">
        <v>2238</v>
      </c>
      <c r="C28"/>
      <c r="E28">
        <f t="shared" si="0"/>
        <v>0</v>
      </c>
      <c r="F28">
        <f t="shared" si="0"/>
        <v>0</v>
      </c>
    </row>
    <row r="29" spans="1:6" ht="48" x14ac:dyDescent="0.2">
      <c r="A29" s="3" t="s">
        <v>2239</v>
      </c>
      <c r="B29" t="s">
        <v>67</v>
      </c>
      <c r="C29"/>
      <c r="E29">
        <f t="shared" si="0"/>
        <v>0</v>
      </c>
      <c r="F29">
        <f t="shared" si="0"/>
        <v>0</v>
      </c>
    </row>
    <row r="30" spans="1:6" ht="48" x14ac:dyDescent="0.2">
      <c r="A30" s="3" t="s">
        <v>2240</v>
      </c>
      <c r="B30" t="s">
        <v>84</v>
      </c>
      <c r="C30"/>
      <c r="E30">
        <f t="shared" si="0"/>
        <v>0</v>
      </c>
      <c r="F30">
        <f t="shared" si="0"/>
        <v>0</v>
      </c>
    </row>
    <row r="31" spans="1:6" ht="48" x14ac:dyDescent="0.2">
      <c r="A31" s="3" t="s">
        <v>2241</v>
      </c>
      <c r="B31" t="s">
        <v>14</v>
      </c>
      <c r="C31"/>
      <c r="E31">
        <f t="shared" si="0"/>
        <v>0</v>
      </c>
      <c r="F31">
        <f t="shared" si="0"/>
        <v>0</v>
      </c>
    </row>
    <row r="32" spans="1:6" ht="48" x14ac:dyDescent="0.2">
      <c r="A32" s="3" t="s">
        <v>2242</v>
      </c>
      <c r="B32" t="s">
        <v>404</v>
      </c>
      <c r="C32"/>
      <c r="E32">
        <f t="shared" si="0"/>
        <v>0</v>
      </c>
      <c r="F32">
        <f t="shared" si="0"/>
        <v>0</v>
      </c>
    </row>
    <row r="33" spans="1:6" ht="48" x14ac:dyDescent="0.2">
      <c r="A33" s="3" t="s">
        <v>2243</v>
      </c>
      <c r="B33" t="s">
        <v>2244</v>
      </c>
      <c r="C33"/>
      <c r="E33">
        <f t="shared" si="0"/>
        <v>0</v>
      </c>
      <c r="F33">
        <f t="shared" si="0"/>
        <v>0</v>
      </c>
    </row>
    <row r="34" spans="1:6" ht="48" x14ac:dyDescent="0.2">
      <c r="A34" s="3" t="s">
        <v>2245</v>
      </c>
      <c r="B34" t="s">
        <v>2246</v>
      </c>
      <c r="C34"/>
      <c r="E34">
        <f t="shared" si="0"/>
        <v>0</v>
      </c>
      <c r="F34">
        <f t="shared" si="0"/>
        <v>0</v>
      </c>
    </row>
    <row r="35" spans="1:6" ht="48" x14ac:dyDescent="0.2">
      <c r="A35" s="3" t="s">
        <v>2247</v>
      </c>
      <c r="B35" t="s">
        <v>122</v>
      </c>
      <c r="C35"/>
      <c r="E35">
        <f t="shared" si="0"/>
        <v>0</v>
      </c>
      <c r="F35">
        <f t="shared" si="0"/>
        <v>0</v>
      </c>
    </row>
    <row r="36" spans="1:6" ht="32" x14ac:dyDescent="0.2">
      <c r="A36" s="3" t="s">
        <v>2248</v>
      </c>
      <c r="B36" t="s">
        <v>42</v>
      </c>
      <c r="C36"/>
      <c r="E36">
        <f t="shared" si="0"/>
        <v>0</v>
      </c>
      <c r="F36">
        <f t="shared" si="0"/>
        <v>0</v>
      </c>
    </row>
    <row r="37" spans="1:6" ht="48" x14ac:dyDescent="0.2">
      <c r="A37" s="3" t="s">
        <v>2249</v>
      </c>
      <c r="B37" t="s">
        <v>2250</v>
      </c>
      <c r="C37"/>
      <c r="E37">
        <f t="shared" si="0"/>
        <v>0</v>
      </c>
      <c r="F37">
        <f t="shared" si="0"/>
        <v>0</v>
      </c>
    </row>
    <row r="38" spans="1:6" ht="48" x14ac:dyDescent="0.2">
      <c r="A38" s="3" t="s">
        <v>2251</v>
      </c>
      <c r="B38" t="s">
        <v>2205</v>
      </c>
      <c r="C38"/>
      <c r="E38">
        <f t="shared" si="0"/>
        <v>0</v>
      </c>
      <c r="F38">
        <f t="shared" si="0"/>
        <v>0</v>
      </c>
    </row>
    <row r="39" spans="1:6" ht="48" x14ac:dyDescent="0.2">
      <c r="A39" s="3" t="s">
        <v>2252</v>
      </c>
      <c r="B39" t="s">
        <v>243</v>
      </c>
      <c r="C39"/>
      <c r="D39" t="s">
        <v>259</v>
      </c>
      <c r="E39">
        <f t="shared" si="0"/>
        <v>0</v>
      </c>
      <c r="F39">
        <f t="shared" si="0"/>
        <v>1</v>
      </c>
    </row>
    <row r="40" spans="1:6" ht="48" x14ac:dyDescent="0.2">
      <c r="A40" s="3" t="s">
        <v>2253</v>
      </c>
      <c r="B40" t="s">
        <v>2254</v>
      </c>
      <c r="C40"/>
      <c r="E40">
        <f t="shared" si="0"/>
        <v>0</v>
      </c>
      <c r="F40">
        <f t="shared" si="0"/>
        <v>0</v>
      </c>
    </row>
    <row r="41" spans="1:6" ht="48" x14ac:dyDescent="0.2">
      <c r="A41" s="3" t="s">
        <v>2255</v>
      </c>
      <c r="B41" t="s">
        <v>2256</v>
      </c>
      <c r="C41"/>
      <c r="E41">
        <f t="shared" si="0"/>
        <v>0</v>
      </c>
      <c r="F41">
        <f t="shared" si="0"/>
        <v>0</v>
      </c>
    </row>
    <row r="42" spans="1:6" ht="48" x14ac:dyDescent="0.2">
      <c r="A42" s="3" t="s">
        <v>2257</v>
      </c>
      <c r="B42" t="s">
        <v>2258</v>
      </c>
      <c r="C42"/>
      <c r="E42">
        <f t="shared" si="0"/>
        <v>0</v>
      </c>
      <c r="F42">
        <f t="shared" si="0"/>
        <v>0</v>
      </c>
    </row>
    <row r="43" spans="1:6" ht="48" x14ac:dyDescent="0.2">
      <c r="A43" s="3" t="s">
        <v>2259</v>
      </c>
      <c r="B43" t="s">
        <v>201</v>
      </c>
      <c r="C43"/>
      <c r="E43">
        <f t="shared" si="0"/>
        <v>0</v>
      </c>
      <c r="F43">
        <f t="shared" si="0"/>
        <v>0</v>
      </c>
    </row>
    <row r="44" spans="1:6" ht="32" x14ac:dyDescent="0.2">
      <c r="A44" s="3" t="s">
        <v>2260</v>
      </c>
      <c r="B44" t="s">
        <v>114</v>
      </c>
      <c r="C44"/>
      <c r="E44">
        <f t="shared" si="0"/>
        <v>0</v>
      </c>
      <c r="F44">
        <f t="shared" si="0"/>
        <v>0</v>
      </c>
    </row>
    <row r="45" spans="1:6" ht="48" x14ac:dyDescent="0.2">
      <c r="A45" s="3" t="s">
        <v>2261</v>
      </c>
      <c r="B45" t="s">
        <v>2262</v>
      </c>
      <c r="C45"/>
      <c r="E45">
        <f t="shared" si="0"/>
        <v>0</v>
      </c>
      <c r="F45">
        <f t="shared" si="0"/>
        <v>0</v>
      </c>
    </row>
    <row r="46" spans="1:6" ht="48" x14ac:dyDescent="0.2">
      <c r="A46" s="3" t="s">
        <v>2263</v>
      </c>
      <c r="B46" t="s">
        <v>1602</v>
      </c>
      <c r="C46"/>
      <c r="E46">
        <f t="shared" si="0"/>
        <v>0</v>
      </c>
      <c r="F46">
        <f t="shared" si="0"/>
        <v>0</v>
      </c>
    </row>
    <row r="47" spans="1:6" ht="48" x14ac:dyDescent="0.2">
      <c r="A47" s="3" t="s">
        <v>2264</v>
      </c>
      <c r="B47" t="s">
        <v>30</v>
      </c>
      <c r="C47"/>
      <c r="E47">
        <f t="shared" si="0"/>
        <v>0</v>
      </c>
      <c r="F47">
        <f t="shared" si="0"/>
        <v>0</v>
      </c>
    </row>
    <row r="48" spans="1:6" ht="48" x14ac:dyDescent="0.2">
      <c r="A48" s="3" t="s">
        <v>2265</v>
      </c>
      <c r="B48" t="s">
        <v>2266</v>
      </c>
      <c r="C48"/>
      <c r="D48" t="s">
        <v>48</v>
      </c>
      <c r="E48">
        <f t="shared" si="0"/>
        <v>0</v>
      </c>
      <c r="F48">
        <f t="shared" si="0"/>
        <v>1</v>
      </c>
    </row>
    <row r="49" spans="1:6" ht="48" x14ac:dyDescent="0.2">
      <c r="A49" s="3" t="s">
        <v>2267</v>
      </c>
      <c r="B49" t="s">
        <v>2268</v>
      </c>
      <c r="C49"/>
      <c r="E49">
        <f t="shared" si="0"/>
        <v>0</v>
      </c>
      <c r="F49">
        <f t="shared" si="0"/>
        <v>0</v>
      </c>
    </row>
    <row r="50" spans="1:6" ht="48" x14ac:dyDescent="0.2">
      <c r="A50" s="3" t="s">
        <v>2269</v>
      </c>
      <c r="B50" t="s">
        <v>18</v>
      </c>
      <c r="C50"/>
      <c r="E50">
        <f t="shared" si="0"/>
        <v>0</v>
      </c>
      <c r="F50">
        <f t="shared" si="0"/>
        <v>0</v>
      </c>
    </row>
    <row r="51" spans="1:6" ht="48" x14ac:dyDescent="0.2">
      <c r="A51" s="3" t="s">
        <v>2270</v>
      </c>
      <c r="B51" t="s">
        <v>2271</v>
      </c>
      <c r="C51"/>
      <c r="E51">
        <f t="shared" si="0"/>
        <v>0</v>
      </c>
      <c r="F51">
        <f t="shared" si="0"/>
        <v>0</v>
      </c>
    </row>
    <row r="52" spans="1:6" ht="48" x14ac:dyDescent="0.2">
      <c r="A52" s="3" t="s">
        <v>2272</v>
      </c>
      <c r="B52" t="s">
        <v>2273</v>
      </c>
      <c r="C52"/>
      <c r="E52">
        <f t="shared" si="0"/>
        <v>0</v>
      </c>
      <c r="F52">
        <f t="shared" si="0"/>
        <v>0</v>
      </c>
    </row>
    <row r="53" spans="1:6" ht="48" x14ac:dyDescent="0.2">
      <c r="A53" s="3" t="s">
        <v>2274</v>
      </c>
      <c r="B53" t="s">
        <v>235</v>
      </c>
      <c r="C53"/>
      <c r="E53">
        <f t="shared" si="0"/>
        <v>0</v>
      </c>
      <c r="F53">
        <f t="shared" si="0"/>
        <v>0</v>
      </c>
    </row>
    <row r="54" spans="1:6" ht="48" x14ac:dyDescent="0.2">
      <c r="A54" s="3" t="s">
        <v>2275</v>
      </c>
      <c r="B54" t="s">
        <v>72</v>
      </c>
      <c r="C54"/>
      <c r="E54">
        <f t="shared" si="0"/>
        <v>0</v>
      </c>
      <c r="F54">
        <f t="shared" si="0"/>
        <v>0</v>
      </c>
    </row>
    <row r="55" spans="1:6" ht="48" x14ac:dyDescent="0.2">
      <c r="A55" s="3" t="s">
        <v>2276</v>
      </c>
      <c r="B55" t="s">
        <v>2277</v>
      </c>
      <c r="C55"/>
      <c r="E55">
        <f t="shared" si="0"/>
        <v>0</v>
      </c>
      <c r="F55">
        <f t="shared" si="0"/>
        <v>0</v>
      </c>
    </row>
    <row r="56" spans="1:6" ht="48" x14ac:dyDescent="0.2">
      <c r="A56" s="3" t="s">
        <v>2278</v>
      </c>
      <c r="B56" t="s">
        <v>1393</v>
      </c>
      <c r="C56"/>
      <c r="E56">
        <f t="shared" si="0"/>
        <v>0</v>
      </c>
      <c r="F56">
        <f t="shared" si="0"/>
        <v>0</v>
      </c>
    </row>
    <row r="57" spans="1:6" ht="48" x14ac:dyDescent="0.2">
      <c r="A57" s="3" t="s">
        <v>2279</v>
      </c>
      <c r="B57" t="s">
        <v>2280</v>
      </c>
      <c r="C57"/>
      <c r="E57">
        <f t="shared" si="0"/>
        <v>0</v>
      </c>
      <c r="F57">
        <f t="shared" si="0"/>
        <v>0</v>
      </c>
    </row>
    <row r="58" spans="1:6" ht="64" x14ac:dyDescent="0.2">
      <c r="A58" s="3" t="s">
        <v>2281</v>
      </c>
      <c r="B58" t="s">
        <v>2282</v>
      </c>
      <c r="C58"/>
      <c r="E58">
        <f t="shared" si="0"/>
        <v>0</v>
      </c>
      <c r="F58">
        <f t="shared" si="0"/>
        <v>0</v>
      </c>
    </row>
    <row r="59" spans="1:6" ht="32" x14ac:dyDescent="0.2">
      <c r="A59" s="3" t="s">
        <v>2283</v>
      </c>
      <c r="B59" t="s">
        <v>2284</v>
      </c>
      <c r="C59"/>
      <c r="E59">
        <f t="shared" si="0"/>
        <v>0</v>
      </c>
      <c r="F59">
        <f t="shared" si="0"/>
        <v>0</v>
      </c>
    </row>
    <row r="60" spans="1:6" ht="48" x14ac:dyDescent="0.2">
      <c r="A60" s="3" t="s">
        <v>2285</v>
      </c>
      <c r="B60" t="s">
        <v>676</v>
      </c>
      <c r="C60"/>
      <c r="E60">
        <f t="shared" si="0"/>
        <v>0</v>
      </c>
      <c r="F60">
        <f t="shared" si="0"/>
        <v>0</v>
      </c>
    </row>
    <row r="61" spans="1:6" ht="16" x14ac:dyDescent="0.2">
      <c r="A61" s="3" t="s">
        <v>2286</v>
      </c>
      <c r="B61" t="s">
        <v>13</v>
      </c>
      <c r="C61"/>
      <c r="E61">
        <f t="shared" si="0"/>
        <v>0</v>
      </c>
      <c r="F61">
        <f t="shared" si="0"/>
        <v>0</v>
      </c>
    </row>
    <row r="62" spans="1:6" ht="48" x14ac:dyDescent="0.2">
      <c r="A62" s="3" t="s">
        <v>2287</v>
      </c>
      <c r="B62" t="s">
        <v>2277</v>
      </c>
      <c r="C62"/>
      <c r="E62">
        <f t="shared" si="0"/>
        <v>0</v>
      </c>
      <c r="F62">
        <f t="shared" si="0"/>
        <v>0</v>
      </c>
    </row>
    <row r="63" spans="1:6" ht="48" x14ac:dyDescent="0.2">
      <c r="A63" s="3" t="s">
        <v>2288</v>
      </c>
      <c r="B63" t="s">
        <v>2289</v>
      </c>
      <c r="C63"/>
      <c r="E63">
        <f t="shared" si="0"/>
        <v>0</v>
      </c>
      <c r="F63">
        <f t="shared" si="0"/>
        <v>0</v>
      </c>
    </row>
    <row r="64" spans="1:6" ht="48" x14ac:dyDescent="0.2">
      <c r="A64" s="3" t="s">
        <v>2290</v>
      </c>
      <c r="B64" t="s">
        <v>22</v>
      </c>
      <c r="C64"/>
      <c r="E64">
        <f t="shared" si="0"/>
        <v>0</v>
      </c>
      <c r="F64">
        <f t="shared" si="0"/>
        <v>0</v>
      </c>
    </row>
    <row r="65" spans="1:6" ht="32" x14ac:dyDescent="0.2">
      <c r="A65" s="3" t="s">
        <v>2291</v>
      </c>
      <c r="B65" t="s">
        <v>2292</v>
      </c>
      <c r="C65"/>
      <c r="E65">
        <f t="shared" si="0"/>
        <v>0</v>
      </c>
      <c r="F65">
        <f t="shared" si="0"/>
        <v>0</v>
      </c>
    </row>
    <row r="66" spans="1:6" ht="48" x14ac:dyDescent="0.2">
      <c r="A66" s="3" t="s">
        <v>2293</v>
      </c>
      <c r="B66" t="s">
        <v>42</v>
      </c>
      <c r="C66"/>
      <c r="E66">
        <f t="shared" si="0"/>
        <v>0</v>
      </c>
      <c r="F66">
        <f t="shared" si="0"/>
        <v>0</v>
      </c>
    </row>
    <row r="67" spans="1:6" ht="48" x14ac:dyDescent="0.2">
      <c r="A67" s="3" t="s">
        <v>2294</v>
      </c>
      <c r="B67" t="s">
        <v>2</v>
      </c>
      <c r="C67"/>
      <c r="D67" t="s">
        <v>48</v>
      </c>
      <c r="E67">
        <f t="shared" ref="E67:F101" si="1">IF(C67="",0,1)</f>
        <v>0</v>
      </c>
      <c r="F67">
        <f t="shared" si="1"/>
        <v>1</v>
      </c>
    </row>
    <row r="68" spans="1:6" ht="48" x14ac:dyDescent="0.2">
      <c r="A68" s="3" t="s">
        <v>2295</v>
      </c>
      <c r="B68" t="s">
        <v>125</v>
      </c>
      <c r="C68"/>
      <c r="E68">
        <f t="shared" si="1"/>
        <v>0</v>
      </c>
      <c r="F68">
        <f t="shared" si="1"/>
        <v>0</v>
      </c>
    </row>
    <row r="69" spans="1:6" ht="48" x14ac:dyDescent="0.2">
      <c r="A69" s="3" t="s">
        <v>2296</v>
      </c>
      <c r="B69" t="s">
        <v>61</v>
      </c>
      <c r="C69"/>
      <c r="E69">
        <f t="shared" si="1"/>
        <v>0</v>
      </c>
      <c r="F69">
        <f t="shared" si="1"/>
        <v>0</v>
      </c>
    </row>
    <row r="70" spans="1:6" ht="48" x14ac:dyDescent="0.2">
      <c r="A70" s="3" t="s">
        <v>2297</v>
      </c>
      <c r="B70" t="s">
        <v>226</v>
      </c>
      <c r="C70"/>
      <c r="E70">
        <f t="shared" si="1"/>
        <v>0</v>
      </c>
      <c r="F70">
        <f t="shared" si="1"/>
        <v>0</v>
      </c>
    </row>
    <row r="71" spans="1:6" ht="48" x14ac:dyDescent="0.2">
      <c r="A71" s="3" t="s">
        <v>2298</v>
      </c>
      <c r="B71" t="s">
        <v>14</v>
      </c>
      <c r="C71"/>
      <c r="E71">
        <f t="shared" si="1"/>
        <v>0</v>
      </c>
      <c r="F71">
        <f t="shared" si="1"/>
        <v>0</v>
      </c>
    </row>
    <row r="72" spans="1:6" ht="64" x14ac:dyDescent="0.2">
      <c r="A72" s="3" t="s">
        <v>2299</v>
      </c>
      <c r="B72" t="s">
        <v>913</v>
      </c>
      <c r="C72"/>
      <c r="E72">
        <f t="shared" si="1"/>
        <v>0</v>
      </c>
      <c r="F72">
        <f t="shared" si="1"/>
        <v>0</v>
      </c>
    </row>
    <row r="73" spans="1:6" ht="48" x14ac:dyDescent="0.2">
      <c r="A73" s="3" t="s">
        <v>2300</v>
      </c>
      <c r="B73" t="s">
        <v>2301</v>
      </c>
      <c r="C73"/>
      <c r="E73">
        <f t="shared" si="1"/>
        <v>0</v>
      </c>
      <c r="F73">
        <f t="shared" si="1"/>
        <v>0</v>
      </c>
    </row>
    <row r="74" spans="1:6" ht="32" x14ac:dyDescent="0.2">
      <c r="A74" s="3" t="s">
        <v>2302</v>
      </c>
      <c r="B74" t="s">
        <v>137</v>
      </c>
      <c r="C74"/>
      <c r="E74">
        <f t="shared" si="1"/>
        <v>0</v>
      </c>
      <c r="F74">
        <f t="shared" si="1"/>
        <v>0</v>
      </c>
    </row>
    <row r="75" spans="1:6" ht="48" x14ac:dyDescent="0.2">
      <c r="A75" s="3" t="s">
        <v>2303</v>
      </c>
      <c r="B75" t="s">
        <v>23</v>
      </c>
      <c r="C75"/>
      <c r="E75">
        <f t="shared" si="1"/>
        <v>0</v>
      </c>
      <c r="F75">
        <f t="shared" si="1"/>
        <v>0</v>
      </c>
    </row>
    <row r="76" spans="1:6" ht="48" x14ac:dyDescent="0.2">
      <c r="A76" s="3" t="s">
        <v>2304</v>
      </c>
      <c r="B76" t="s">
        <v>70</v>
      </c>
      <c r="C76"/>
      <c r="E76">
        <f t="shared" si="1"/>
        <v>0</v>
      </c>
      <c r="F76">
        <f t="shared" si="1"/>
        <v>0</v>
      </c>
    </row>
    <row r="77" spans="1:6" ht="64" x14ac:dyDescent="0.2">
      <c r="A77" s="3" t="s">
        <v>2305</v>
      </c>
      <c r="B77" t="s">
        <v>2306</v>
      </c>
      <c r="C77"/>
      <c r="E77">
        <f t="shared" si="1"/>
        <v>0</v>
      </c>
      <c r="F77">
        <f t="shared" si="1"/>
        <v>0</v>
      </c>
    </row>
    <row r="78" spans="1:6" ht="48" x14ac:dyDescent="0.2">
      <c r="A78" s="3" t="s">
        <v>2307</v>
      </c>
      <c r="B78" t="s">
        <v>78</v>
      </c>
      <c r="C78"/>
      <c r="E78">
        <f t="shared" si="1"/>
        <v>0</v>
      </c>
      <c r="F78">
        <f t="shared" si="1"/>
        <v>0</v>
      </c>
    </row>
    <row r="79" spans="1:6" ht="48" x14ac:dyDescent="0.2">
      <c r="A79" s="3" t="s">
        <v>2308</v>
      </c>
      <c r="B79" t="s">
        <v>247</v>
      </c>
      <c r="C79"/>
      <c r="E79">
        <f t="shared" si="1"/>
        <v>0</v>
      </c>
      <c r="F79">
        <f t="shared" si="1"/>
        <v>0</v>
      </c>
    </row>
    <row r="80" spans="1:6" ht="48" x14ac:dyDescent="0.2">
      <c r="A80" s="3" t="s">
        <v>2309</v>
      </c>
      <c r="B80" t="s">
        <v>2310</v>
      </c>
      <c r="C80"/>
      <c r="E80">
        <f t="shared" si="1"/>
        <v>0</v>
      </c>
      <c r="F80">
        <f t="shared" si="1"/>
        <v>0</v>
      </c>
    </row>
    <row r="81" spans="1:6" ht="48" x14ac:dyDescent="0.2">
      <c r="A81" s="3" t="s">
        <v>2311</v>
      </c>
      <c r="B81" t="s">
        <v>2312</v>
      </c>
      <c r="C81"/>
      <c r="E81">
        <f t="shared" si="1"/>
        <v>0</v>
      </c>
      <c r="F81">
        <f t="shared" si="1"/>
        <v>0</v>
      </c>
    </row>
    <row r="82" spans="1:6" ht="48" x14ac:dyDescent="0.2">
      <c r="A82" s="3" t="s">
        <v>2313</v>
      </c>
      <c r="B82" t="s">
        <v>2314</v>
      </c>
      <c r="C82"/>
      <c r="E82">
        <f t="shared" si="1"/>
        <v>0</v>
      </c>
      <c r="F82">
        <f t="shared" si="1"/>
        <v>0</v>
      </c>
    </row>
    <row r="83" spans="1:6" ht="64" x14ac:dyDescent="0.2">
      <c r="A83" s="3" t="s">
        <v>2315</v>
      </c>
      <c r="B83" t="s">
        <v>2316</v>
      </c>
      <c r="C83"/>
      <c r="E83">
        <f t="shared" si="1"/>
        <v>0</v>
      </c>
      <c r="F83">
        <f t="shared" si="1"/>
        <v>0</v>
      </c>
    </row>
    <row r="84" spans="1:6" ht="48" x14ac:dyDescent="0.2">
      <c r="A84" s="3" t="s">
        <v>2317</v>
      </c>
      <c r="B84" t="s">
        <v>14</v>
      </c>
      <c r="C84"/>
      <c r="E84">
        <f t="shared" si="1"/>
        <v>0</v>
      </c>
      <c r="F84">
        <f t="shared" si="1"/>
        <v>0</v>
      </c>
    </row>
    <row r="85" spans="1:6" ht="48" x14ac:dyDescent="0.2">
      <c r="A85" s="3" t="s">
        <v>2318</v>
      </c>
      <c r="B85" t="s">
        <v>136</v>
      </c>
      <c r="C85"/>
      <c r="E85">
        <f t="shared" si="1"/>
        <v>0</v>
      </c>
      <c r="F85">
        <f t="shared" si="1"/>
        <v>0</v>
      </c>
    </row>
    <row r="86" spans="1:6" ht="48" x14ac:dyDescent="0.2">
      <c r="A86" s="3" t="s">
        <v>2319</v>
      </c>
      <c r="B86" t="s">
        <v>84</v>
      </c>
      <c r="C86"/>
      <c r="E86">
        <f t="shared" si="1"/>
        <v>0</v>
      </c>
      <c r="F86">
        <f t="shared" si="1"/>
        <v>0</v>
      </c>
    </row>
    <row r="87" spans="1:6" ht="64" x14ac:dyDescent="0.2">
      <c r="A87" s="3" t="s">
        <v>2320</v>
      </c>
      <c r="B87" t="s">
        <v>184</v>
      </c>
      <c r="C87"/>
      <c r="E87">
        <f t="shared" si="1"/>
        <v>0</v>
      </c>
      <c r="F87">
        <f t="shared" si="1"/>
        <v>0</v>
      </c>
    </row>
    <row r="88" spans="1:6" ht="48" x14ac:dyDescent="0.2">
      <c r="A88" s="3" t="s">
        <v>2321</v>
      </c>
      <c r="B88" t="s">
        <v>2322</v>
      </c>
      <c r="C88"/>
      <c r="E88">
        <f t="shared" si="1"/>
        <v>0</v>
      </c>
      <c r="F88">
        <f t="shared" si="1"/>
        <v>0</v>
      </c>
    </row>
    <row r="89" spans="1:6" ht="48" x14ac:dyDescent="0.2">
      <c r="A89" s="3" t="s">
        <v>2323</v>
      </c>
      <c r="B89" t="s">
        <v>79</v>
      </c>
      <c r="C89"/>
      <c r="E89">
        <f t="shared" si="1"/>
        <v>0</v>
      </c>
      <c r="F89">
        <f t="shared" si="1"/>
        <v>0</v>
      </c>
    </row>
    <row r="90" spans="1:6" ht="48" x14ac:dyDescent="0.2">
      <c r="A90" s="3" t="s">
        <v>2324</v>
      </c>
      <c r="B90" t="s">
        <v>67</v>
      </c>
      <c r="C90"/>
      <c r="D90" t="s">
        <v>2342</v>
      </c>
      <c r="E90">
        <f t="shared" si="1"/>
        <v>0</v>
      </c>
      <c r="F90">
        <f t="shared" si="1"/>
        <v>1</v>
      </c>
    </row>
    <row r="91" spans="1:6" ht="48" x14ac:dyDescent="0.2">
      <c r="A91" s="3" t="s">
        <v>2325</v>
      </c>
      <c r="B91" t="s">
        <v>2326</v>
      </c>
      <c r="C91"/>
      <c r="E91">
        <f t="shared" si="1"/>
        <v>0</v>
      </c>
      <c r="F91">
        <f t="shared" si="1"/>
        <v>0</v>
      </c>
    </row>
    <row r="92" spans="1:6" ht="48" x14ac:dyDescent="0.2">
      <c r="A92" s="3" t="s">
        <v>2327</v>
      </c>
      <c r="B92" t="s">
        <v>2328</v>
      </c>
      <c r="C92"/>
      <c r="D92" t="s">
        <v>2343</v>
      </c>
      <c r="E92">
        <f t="shared" si="1"/>
        <v>0</v>
      </c>
      <c r="F92">
        <f t="shared" si="1"/>
        <v>1</v>
      </c>
    </row>
    <row r="93" spans="1:6" ht="64" x14ac:dyDescent="0.2">
      <c r="A93" s="3" t="s">
        <v>2329</v>
      </c>
      <c r="B93" t="s">
        <v>6</v>
      </c>
      <c r="C93"/>
      <c r="D93" t="s">
        <v>48</v>
      </c>
      <c r="E93">
        <f t="shared" si="1"/>
        <v>0</v>
      </c>
      <c r="F93">
        <f t="shared" si="1"/>
        <v>1</v>
      </c>
    </row>
    <row r="94" spans="1:6" ht="48" x14ac:dyDescent="0.2">
      <c r="A94" s="3" t="s">
        <v>2330</v>
      </c>
      <c r="B94" t="s">
        <v>2331</v>
      </c>
      <c r="C94"/>
      <c r="E94">
        <f t="shared" si="1"/>
        <v>0</v>
      </c>
      <c r="F94">
        <f t="shared" si="1"/>
        <v>0</v>
      </c>
    </row>
    <row r="95" spans="1:6" ht="48" x14ac:dyDescent="0.2">
      <c r="A95" s="3" t="s">
        <v>2332</v>
      </c>
      <c r="B95" t="s">
        <v>8</v>
      </c>
      <c r="C95"/>
      <c r="E95">
        <f t="shared" si="1"/>
        <v>0</v>
      </c>
      <c r="F95">
        <f t="shared" si="1"/>
        <v>0</v>
      </c>
    </row>
    <row r="96" spans="1:6" ht="48" x14ac:dyDescent="0.2">
      <c r="A96" s="3" t="s">
        <v>2333</v>
      </c>
      <c r="B96" t="s">
        <v>2334</v>
      </c>
      <c r="C96"/>
      <c r="E96">
        <f t="shared" si="1"/>
        <v>0</v>
      </c>
      <c r="F96">
        <f t="shared" si="1"/>
        <v>0</v>
      </c>
    </row>
    <row r="97" spans="1:6" ht="48" x14ac:dyDescent="0.2">
      <c r="A97" s="3" t="s">
        <v>2335</v>
      </c>
      <c r="B97" t="s">
        <v>2336</v>
      </c>
      <c r="C97"/>
      <c r="E97">
        <f t="shared" si="1"/>
        <v>0</v>
      </c>
      <c r="F97">
        <f t="shared" si="1"/>
        <v>0</v>
      </c>
    </row>
    <row r="98" spans="1:6" ht="48" x14ac:dyDescent="0.2">
      <c r="A98" s="3" t="s">
        <v>2337</v>
      </c>
      <c r="B98" t="s">
        <v>70</v>
      </c>
      <c r="C98"/>
      <c r="E98">
        <f t="shared" si="1"/>
        <v>0</v>
      </c>
      <c r="F98">
        <f t="shared" si="1"/>
        <v>0</v>
      </c>
    </row>
    <row r="99" spans="1:6" ht="48" x14ac:dyDescent="0.2">
      <c r="A99" s="3" t="s">
        <v>2338</v>
      </c>
      <c r="B99" t="s">
        <v>66</v>
      </c>
      <c r="C99"/>
      <c r="E99">
        <f t="shared" si="1"/>
        <v>0</v>
      </c>
      <c r="F99">
        <f t="shared" si="1"/>
        <v>0</v>
      </c>
    </row>
    <row r="100" spans="1:6" ht="48" x14ac:dyDescent="0.2">
      <c r="A100" s="3" t="s">
        <v>2339</v>
      </c>
      <c r="B100" t="s">
        <v>2340</v>
      </c>
      <c r="C100"/>
      <c r="D100" t="s">
        <v>49</v>
      </c>
      <c r="E100">
        <f t="shared" si="1"/>
        <v>0</v>
      </c>
      <c r="F100">
        <f t="shared" si="1"/>
        <v>1</v>
      </c>
    </row>
    <row r="101" spans="1:6" ht="48" x14ac:dyDescent="0.2">
      <c r="A101" s="3" t="s">
        <v>2341</v>
      </c>
      <c r="B101" t="s">
        <v>10</v>
      </c>
      <c r="C101"/>
      <c r="E101">
        <f t="shared" si="1"/>
        <v>0</v>
      </c>
      <c r="F101">
        <f t="shared" si="1"/>
        <v>0</v>
      </c>
    </row>
    <row r="103" spans="1:6" x14ac:dyDescent="0.2">
      <c r="E103" s="10">
        <f>SUM(E2:E101)</f>
        <v>0</v>
      </c>
      <c r="F103" s="10">
        <f>SUM(F2:F101)</f>
        <v>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3774-ED4C-DC4E-B674-A992DF0F67C4}">
  <dimension ref="A1:G103"/>
  <sheetViews>
    <sheetView topLeftCell="A96" zoomScale="160" zoomScaleNormal="160" workbookViewId="0">
      <selection activeCell="D102" sqref="D102"/>
    </sheetView>
  </sheetViews>
  <sheetFormatPr baseColWidth="10" defaultRowHeight="15" x14ac:dyDescent="0.2"/>
  <cols>
    <col min="1" max="1" width="39.1640625" style="3" customWidth="1"/>
    <col min="2" max="2" width="56.1640625" style="7" customWidth="1"/>
    <col min="3" max="3" width="8.83203125"/>
    <col min="4" max="4" width="15.1640625" style="9" customWidth="1"/>
    <col min="5" max="5" width="13.33203125" customWidth="1"/>
  </cols>
  <sheetData>
    <row r="1" spans="1:7" ht="16" x14ac:dyDescent="0.2">
      <c r="A1" s="2" t="s">
        <v>0</v>
      </c>
      <c r="B1" s="6" t="s">
        <v>101</v>
      </c>
      <c r="C1" s="1" t="s">
        <v>1</v>
      </c>
      <c r="D1" s="8" t="s">
        <v>44</v>
      </c>
      <c r="E1" s="1" t="s">
        <v>45</v>
      </c>
      <c r="F1" s="1" t="s">
        <v>44</v>
      </c>
      <c r="G1" s="1" t="s">
        <v>45</v>
      </c>
    </row>
    <row r="2" spans="1:7" ht="64" x14ac:dyDescent="0.2">
      <c r="A2" s="3" t="s">
        <v>2344</v>
      </c>
      <c r="B2" s="3" t="s">
        <v>2474</v>
      </c>
      <c r="C2" t="s">
        <v>406</v>
      </c>
      <c r="D2"/>
      <c r="F2">
        <f>IF(D2="",0,1)</f>
        <v>0</v>
      </c>
      <c r="G2">
        <f>IF(E2="",0,1)</f>
        <v>0</v>
      </c>
    </row>
    <row r="3" spans="1:7" ht="80" x14ac:dyDescent="0.2">
      <c r="A3" s="3" t="s">
        <v>2345</v>
      </c>
      <c r="B3" s="3" t="s">
        <v>2475</v>
      </c>
      <c r="C3" t="s">
        <v>2442</v>
      </c>
      <c r="D3"/>
      <c r="F3">
        <f t="shared" ref="F3:F66" si="0">IF(D3="",0,1)</f>
        <v>0</v>
      </c>
      <c r="G3">
        <f t="shared" ref="G3:G66" si="1">IF(E3="",0,1)</f>
        <v>0</v>
      </c>
    </row>
    <row r="4" spans="1:7" ht="80" x14ac:dyDescent="0.2">
      <c r="A4" s="3" t="s">
        <v>2346</v>
      </c>
      <c r="B4" s="3" t="s">
        <v>2476</v>
      </c>
      <c r="C4" t="s">
        <v>2</v>
      </c>
      <c r="D4"/>
      <c r="F4">
        <f t="shared" si="0"/>
        <v>0</v>
      </c>
      <c r="G4">
        <f t="shared" si="1"/>
        <v>0</v>
      </c>
    </row>
    <row r="5" spans="1:7" ht="64" x14ac:dyDescent="0.2">
      <c r="A5" s="3" t="s">
        <v>2347</v>
      </c>
      <c r="B5" s="3" t="s">
        <v>2477</v>
      </c>
      <c r="C5" t="s">
        <v>2443</v>
      </c>
      <c r="D5"/>
      <c r="F5">
        <f t="shared" si="0"/>
        <v>0</v>
      </c>
      <c r="G5">
        <f t="shared" si="1"/>
        <v>0</v>
      </c>
    </row>
    <row r="6" spans="1:7" ht="64" x14ac:dyDescent="0.2">
      <c r="A6" s="3" t="s">
        <v>2348</v>
      </c>
      <c r="B6" s="3" t="s">
        <v>2478</v>
      </c>
      <c r="C6" t="s">
        <v>1602</v>
      </c>
      <c r="D6"/>
      <c r="F6">
        <f t="shared" si="0"/>
        <v>0</v>
      </c>
      <c r="G6">
        <f t="shared" si="1"/>
        <v>0</v>
      </c>
    </row>
    <row r="7" spans="1:7" ht="48" x14ac:dyDescent="0.2">
      <c r="A7" s="3" t="s">
        <v>2349</v>
      </c>
      <c r="B7" s="3" t="s">
        <v>2479</v>
      </c>
      <c r="C7" t="s">
        <v>204</v>
      </c>
      <c r="D7"/>
      <c r="F7">
        <f t="shared" si="0"/>
        <v>0</v>
      </c>
      <c r="G7">
        <f t="shared" si="1"/>
        <v>0</v>
      </c>
    </row>
    <row r="8" spans="1:7" ht="64" x14ac:dyDescent="0.2">
      <c r="A8" s="3" t="s">
        <v>2350</v>
      </c>
      <c r="B8" s="3" t="s">
        <v>2480</v>
      </c>
      <c r="C8" t="s">
        <v>187</v>
      </c>
      <c r="D8"/>
      <c r="F8">
        <f t="shared" si="0"/>
        <v>0</v>
      </c>
      <c r="G8">
        <f t="shared" si="1"/>
        <v>0</v>
      </c>
    </row>
    <row r="9" spans="1:7" ht="64" x14ac:dyDescent="0.2">
      <c r="A9" s="3" t="s">
        <v>2351</v>
      </c>
      <c r="B9" s="3" t="s">
        <v>2481</v>
      </c>
      <c r="C9" t="s">
        <v>2444</v>
      </c>
      <c r="D9"/>
      <c r="F9">
        <f t="shared" si="0"/>
        <v>0</v>
      </c>
      <c r="G9">
        <f t="shared" si="1"/>
        <v>0</v>
      </c>
    </row>
    <row r="10" spans="1:7" ht="64" x14ac:dyDescent="0.2">
      <c r="A10" s="3" t="s">
        <v>2352</v>
      </c>
      <c r="B10" s="3" t="s">
        <v>2482</v>
      </c>
      <c r="C10" t="s">
        <v>2445</v>
      </c>
      <c r="D10"/>
      <c r="F10">
        <f t="shared" si="0"/>
        <v>0</v>
      </c>
      <c r="G10">
        <f t="shared" si="1"/>
        <v>0</v>
      </c>
    </row>
    <row r="11" spans="1:7" ht="64" x14ac:dyDescent="0.2">
      <c r="A11" s="3" t="s">
        <v>2353</v>
      </c>
      <c r="B11" s="3" t="s">
        <v>2483</v>
      </c>
      <c r="C11" t="s">
        <v>2446</v>
      </c>
      <c r="D11"/>
      <c r="F11">
        <f t="shared" si="0"/>
        <v>0</v>
      </c>
      <c r="G11">
        <f t="shared" si="1"/>
        <v>0</v>
      </c>
    </row>
    <row r="12" spans="1:7" ht="64" x14ac:dyDescent="0.2">
      <c r="A12" s="3" t="s">
        <v>2354</v>
      </c>
      <c r="B12" s="3" t="s">
        <v>2484</v>
      </c>
      <c r="C12" t="s">
        <v>70</v>
      </c>
      <c r="D12"/>
      <c r="F12">
        <f t="shared" si="0"/>
        <v>0</v>
      </c>
      <c r="G12">
        <f t="shared" si="1"/>
        <v>0</v>
      </c>
    </row>
    <row r="13" spans="1:7" ht="64" x14ac:dyDescent="0.2">
      <c r="A13" s="3" t="s">
        <v>2355</v>
      </c>
      <c r="B13" s="3" t="s">
        <v>2485</v>
      </c>
      <c r="C13" t="s">
        <v>224</v>
      </c>
      <c r="D13"/>
      <c r="F13">
        <f t="shared" si="0"/>
        <v>0</v>
      </c>
      <c r="G13">
        <f t="shared" si="1"/>
        <v>0</v>
      </c>
    </row>
    <row r="14" spans="1:7" ht="64" x14ac:dyDescent="0.2">
      <c r="A14" s="3" t="s">
        <v>2356</v>
      </c>
      <c r="B14" s="3" t="s">
        <v>2486</v>
      </c>
      <c r="C14" t="s">
        <v>132</v>
      </c>
      <c r="D14"/>
      <c r="F14">
        <f t="shared" si="0"/>
        <v>0</v>
      </c>
      <c r="G14">
        <f t="shared" si="1"/>
        <v>0</v>
      </c>
    </row>
    <row r="15" spans="1:7" ht="64" x14ac:dyDescent="0.2">
      <c r="A15" s="3" t="s">
        <v>2357</v>
      </c>
      <c r="B15" s="3" t="s">
        <v>2487</v>
      </c>
      <c r="C15" t="s">
        <v>204</v>
      </c>
      <c r="D15"/>
      <c r="F15">
        <f t="shared" si="0"/>
        <v>0</v>
      </c>
      <c r="G15">
        <f t="shared" si="1"/>
        <v>0</v>
      </c>
    </row>
    <row r="16" spans="1:7" ht="80" x14ac:dyDescent="0.2">
      <c r="A16" s="3" t="s">
        <v>2358</v>
      </c>
      <c r="B16" s="3" t="s">
        <v>2488</v>
      </c>
      <c r="C16" t="s">
        <v>2447</v>
      </c>
      <c r="D16" t="s">
        <v>216</v>
      </c>
      <c r="F16">
        <f t="shared" si="0"/>
        <v>1</v>
      </c>
      <c r="G16">
        <f t="shared" si="1"/>
        <v>0</v>
      </c>
    </row>
    <row r="17" spans="1:7" ht="80" x14ac:dyDescent="0.2">
      <c r="A17" s="3" t="s">
        <v>2359</v>
      </c>
      <c r="B17" s="3" t="s">
        <v>2489</v>
      </c>
      <c r="C17" t="s">
        <v>2448</v>
      </c>
      <c r="D17"/>
      <c r="F17">
        <f t="shared" si="0"/>
        <v>0</v>
      </c>
      <c r="G17">
        <f t="shared" si="1"/>
        <v>0</v>
      </c>
    </row>
    <row r="18" spans="1:7" ht="64" x14ac:dyDescent="0.2">
      <c r="A18" s="3" t="s">
        <v>2360</v>
      </c>
      <c r="B18" s="3" t="s">
        <v>2490</v>
      </c>
      <c r="C18" t="s">
        <v>2449</v>
      </c>
      <c r="D18"/>
      <c r="F18">
        <f t="shared" si="0"/>
        <v>0</v>
      </c>
      <c r="G18">
        <f t="shared" si="1"/>
        <v>0</v>
      </c>
    </row>
    <row r="19" spans="1:7" ht="64" x14ac:dyDescent="0.2">
      <c r="A19" s="3" t="s">
        <v>2361</v>
      </c>
      <c r="B19" s="3" t="s">
        <v>2491</v>
      </c>
      <c r="C19" t="s">
        <v>162</v>
      </c>
      <c r="D19"/>
      <c r="F19">
        <f t="shared" si="0"/>
        <v>0</v>
      </c>
      <c r="G19">
        <f t="shared" si="1"/>
        <v>0</v>
      </c>
    </row>
    <row r="20" spans="1:7" ht="64" x14ac:dyDescent="0.2">
      <c r="A20" s="3" t="s">
        <v>2362</v>
      </c>
      <c r="B20" s="3" t="s">
        <v>2492</v>
      </c>
      <c r="C20" t="s">
        <v>2450</v>
      </c>
      <c r="D20"/>
      <c r="F20">
        <f t="shared" si="0"/>
        <v>0</v>
      </c>
      <c r="G20">
        <f t="shared" si="1"/>
        <v>0</v>
      </c>
    </row>
    <row r="21" spans="1:7" ht="80" x14ac:dyDescent="0.2">
      <c r="A21" s="3" t="s">
        <v>2363</v>
      </c>
      <c r="B21" s="3" t="s">
        <v>2493</v>
      </c>
      <c r="C21" t="s">
        <v>20</v>
      </c>
      <c r="D21"/>
      <c r="F21">
        <f t="shared" si="0"/>
        <v>0</v>
      </c>
      <c r="G21">
        <f t="shared" si="1"/>
        <v>0</v>
      </c>
    </row>
    <row r="22" spans="1:7" ht="64" x14ac:dyDescent="0.2">
      <c r="A22" s="3" t="s">
        <v>2364</v>
      </c>
      <c r="B22" s="3" t="s">
        <v>2494</v>
      </c>
      <c r="C22" t="s">
        <v>81</v>
      </c>
      <c r="D22"/>
      <c r="F22">
        <f t="shared" si="0"/>
        <v>0</v>
      </c>
      <c r="G22">
        <f t="shared" si="1"/>
        <v>0</v>
      </c>
    </row>
    <row r="23" spans="1:7" ht="64" x14ac:dyDescent="0.2">
      <c r="A23" s="3" t="s">
        <v>2365</v>
      </c>
      <c r="B23" s="3" t="s">
        <v>2495</v>
      </c>
      <c r="C23" t="s">
        <v>2451</v>
      </c>
      <c r="D23"/>
      <c r="F23">
        <f t="shared" si="0"/>
        <v>0</v>
      </c>
      <c r="G23">
        <f t="shared" si="1"/>
        <v>0</v>
      </c>
    </row>
    <row r="24" spans="1:7" ht="32" x14ac:dyDescent="0.2">
      <c r="A24" s="3" t="s">
        <v>2366</v>
      </c>
      <c r="B24" s="3" t="s">
        <v>2496</v>
      </c>
      <c r="C24" t="s">
        <v>132</v>
      </c>
      <c r="D24"/>
      <c r="F24">
        <f t="shared" si="0"/>
        <v>0</v>
      </c>
      <c r="G24">
        <f t="shared" si="1"/>
        <v>0</v>
      </c>
    </row>
    <row r="25" spans="1:7" ht="32" x14ac:dyDescent="0.2">
      <c r="A25" s="3" t="s">
        <v>2367</v>
      </c>
      <c r="B25" s="3" t="s">
        <v>2497</v>
      </c>
      <c r="C25" t="s">
        <v>41</v>
      </c>
      <c r="D25"/>
      <c r="F25">
        <f t="shared" si="0"/>
        <v>0</v>
      </c>
      <c r="G25">
        <f t="shared" si="1"/>
        <v>0</v>
      </c>
    </row>
    <row r="26" spans="1:7" ht="64" x14ac:dyDescent="0.2">
      <c r="A26" s="3" t="s">
        <v>2368</v>
      </c>
      <c r="B26" s="3" t="s">
        <v>2498</v>
      </c>
      <c r="C26" t="s">
        <v>2081</v>
      </c>
      <c r="D26"/>
      <c r="F26">
        <f t="shared" si="0"/>
        <v>0</v>
      </c>
      <c r="G26">
        <f t="shared" si="1"/>
        <v>0</v>
      </c>
    </row>
    <row r="27" spans="1:7" ht="80" x14ac:dyDescent="0.2">
      <c r="A27" s="3" t="s">
        <v>2369</v>
      </c>
      <c r="B27" s="3" t="s">
        <v>2499</v>
      </c>
      <c r="C27" t="s">
        <v>12</v>
      </c>
      <c r="D27"/>
      <c r="F27">
        <f t="shared" si="0"/>
        <v>0</v>
      </c>
      <c r="G27">
        <f t="shared" si="1"/>
        <v>0</v>
      </c>
    </row>
    <row r="28" spans="1:7" ht="64" x14ac:dyDescent="0.2">
      <c r="A28" s="3" t="s">
        <v>2370</v>
      </c>
      <c r="B28" s="3" t="s">
        <v>2500</v>
      </c>
      <c r="C28" t="s">
        <v>14</v>
      </c>
      <c r="D28"/>
      <c r="F28">
        <f t="shared" si="0"/>
        <v>0</v>
      </c>
      <c r="G28">
        <f t="shared" si="1"/>
        <v>0</v>
      </c>
    </row>
    <row r="29" spans="1:7" ht="80" x14ac:dyDescent="0.2">
      <c r="A29" s="3" t="s">
        <v>2371</v>
      </c>
      <c r="B29" s="3" t="s">
        <v>2501</v>
      </c>
      <c r="C29" t="s">
        <v>62</v>
      </c>
      <c r="D29"/>
      <c r="F29">
        <f t="shared" si="0"/>
        <v>0</v>
      </c>
      <c r="G29">
        <f t="shared" si="1"/>
        <v>0</v>
      </c>
    </row>
    <row r="30" spans="1:7" ht="64" x14ac:dyDescent="0.2">
      <c r="A30" s="3" t="s">
        <v>2372</v>
      </c>
      <c r="B30" s="3" t="s">
        <v>2502</v>
      </c>
      <c r="C30" t="s">
        <v>2452</v>
      </c>
      <c r="D30" t="s">
        <v>216</v>
      </c>
      <c r="F30">
        <f t="shared" si="0"/>
        <v>1</v>
      </c>
      <c r="G30">
        <f t="shared" si="1"/>
        <v>0</v>
      </c>
    </row>
    <row r="31" spans="1:7" ht="64" x14ac:dyDescent="0.2">
      <c r="A31" s="3" t="s">
        <v>2373</v>
      </c>
      <c r="B31" s="3" t="s">
        <v>2503</v>
      </c>
      <c r="C31" t="s">
        <v>2</v>
      </c>
      <c r="D31"/>
      <c r="F31">
        <f t="shared" si="0"/>
        <v>0</v>
      </c>
      <c r="G31">
        <f t="shared" si="1"/>
        <v>0</v>
      </c>
    </row>
    <row r="32" spans="1:7" ht="64" x14ac:dyDescent="0.2">
      <c r="A32" s="3" t="s">
        <v>2374</v>
      </c>
      <c r="B32" s="3" t="s">
        <v>2504</v>
      </c>
      <c r="C32" t="s">
        <v>2453</v>
      </c>
      <c r="D32"/>
      <c r="F32">
        <f t="shared" si="0"/>
        <v>0</v>
      </c>
      <c r="G32">
        <f t="shared" si="1"/>
        <v>0</v>
      </c>
    </row>
    <row r="33" spans="1:7" ht="64" x14ac:dyDescent="0.2">
      <c r="A33" s="3" t="s">
        <v>2375</v>
      </c>
      <c r="B33" s="3" t="s">
        <v>2505</v>
      </c>
      <c r="C33" t="s">
        <v>173</v>
      </c>
      <c r="D33"/>
      <c r="F33">
        <f t="shared" si="0"/>
        <v>0</v>
      </c>
      <c r="G33">
        <f t="shared" si="1"/>
        <v>0</v>
      </c>
    </row>
    <row r="34" spans="1:7" ht="64" x14ac:dyDescent="0.2">
      <c r="A34" s="3" t="s">
        <v>2376</v>
      </c>
      <c r="B34" s="3" t="s">
        <v>2506</v>
      </c>
      <c r="C34" t="s">
        <v>2454</v>
      </c>
      <c r="D34"/>
      <c r="F34">
        <f t="shared" si="0"/>
        <v>0</v>
      </c>
      <c r="G34">
        <f t="shared" si="1"/>
        <v>0</v>
      </c>
    </row>
    <row r="35" spans="1:7" ht="64" x14ac:dyDescent="0.2">
      <c r="A35" s="3" t="s">
        <v>200</v>
      </c>
      <c r="B35" s="3" t="s">
        <v>2507</v>
      </c>
      <c r="C35" t="s">
        <v>15</v>
      </c>
      <c r="D35"/>
      <c r="F35">
        <f t="shared" si="0"/>
        <v>0</v>
      </c>
      <c r="G35">
        <f t="shared" si="1"/>
        <v>0</v>
      </c>
    </row>
    <row r="36" spans="1:7" ht="48" x14ac:dyDescent="0.2">
      <c r="A36" s="3" t="s">
        <v>2377</v>
      </c>
      <c r="B36" s="3" t="s">
        <v>2508</v>
      </c>
      <c r="C36" t="s">
        <v>237</v>
      </c>
      <c r="D36"/>
      <c r="F36">
        <f t="shared" si="0"/>
        <v>0</v>
      </c>
      <c r="G36">
        <f t="shared" si="1"/>
        <v>0</v>
      </c>
    </row>
    <row r="37" spans="1:7" ht="64" x14ac:dyDescent="0.2">
      <c r="A37" s="3" t="s">
        <v>2378</v>
      </c>
      <c r="B37" s="3" t="s">
        <v>2509</v>
      </c>
      <c r="C37" t="s">
        <v>2455</v>
      </c>
      <c r="D37"/>
      <c r="F37">
        <f t="shared" si="0"/>
        <v>0</v>
      </c>
      <c r="G37">
        <f t="shared" si="1"/>
        <v>0</v>
      </c>
    </row>
    <row r="38" spans="1:7" ht="64" x14ac:dyDescent="0.2">
      <c r="A38" s="3" t="s">
        <v>2379</v>
      </c>
      <c r="B38" s="3" t="s">
        <v>2510</v>
      </c>
      <c r="C38" t="s">
        <v>184</v>
      </c>
      <c r="D38"/>
      <c r="F38">
        <f t="shared" si="0"/>
        <v>0</v>
      </c>
      <c r="G38">
        <f t="shared" si="1"/>
        <v>0</v>
      </c>
    </row>
    <row r="39" spans="1:7" ht="48" x14ac:dyDescent="0.2">
      <c r="A39" s="3" t="s">
        <v>2380</v>
      </c>
      <c r="B39" s="3" t="s">
        <v>2511</v>
      </c>
      <c r="C39" t="s">
        <v>25</v>
      </c>
      <c r="D39"/>
      <c r="F39">
        <f t="shared" si="0"/>
        <v>0</v>
      </c>
      <c r="G39">
        <f t="shared" si="1"/>
        <v>0</v>
      </c>
    </row>
    <row r="40" spans="1:7" ht="64" x14ac:dyDescent="0.2">
      <c r="A40" s="3" t="s">
        <v>2381</v>
      </c>
      <c r="B40" s="3" t="s">
        <v>2512</v>
      </c>
      <c r="C40" t="s">
        <v>2456</v>
      </c>
      <c r="D40"/>
      <c r="F40">
        <f t="shared" si="0"/>
        <v>0</v>
      </c>
      <c r="G40">
        <f t="shared" si="1"/>
        <v>0</v>
      </c>
    </row>
    <row r="41" spans="1:7" ht="64" x14ac:dyDescent="0.2">
      <c r="A41" s="3" t="s">
        <v>2382</v>
      </c>
      <c r="B41" s="3" t="s">
        <v>2513</v>
      </c>
      <c r="C41" t="s">
        <v>33</v>
      </c>
      <c r="D41"/>
      <c r="F41">
        <f t="shared" si="0"/>
        <v>0</v>
      </c>
      <c r="G41">
        <f t="shared" si="1"/>
        <v>0</v>
      </c>
    </row>
    <row r="42" spans="1:7" ht="64" x14ac:dyDescent="0.2">
      <c r="A42" s="3" t="s">
        <v>2383</v>
      </c>
      <c r="B42" s="3" t="s">
        <v>2514</v>
      </c>
      <c r="C42" t="s">
        <v>181</v>
      </c>
      <c r="D42"/>
      <c r="F42">
        <f t="shared" si="0"/>
        <v>0</v>
      </c>
      <c r="G42">
        <f t="shared" si="1"/>
        <v>0</v>
      </c>
    </row>
    <row r="43" spans="1:7" ht="64" x14ac:dyDescent="0.2">
      <c r="A43" s="3" t="s">
        <v>2384</v>
      </c>
      <c r="B43" s="3" t="s">
        <v>2515</v>
      </c>
      <c r="C43" t="s">
        <v>114</v>
      </c>
      <c r="D43"/>
      <c r="F43">
        <f t="shared" si="0"/>
        <v>0</v>
      </c>
      <c r="G43">
        <f t="shared" si="1"/>
        <v>0</v>
      </c>
    </row>
    <row r="44" spans="1:7" ht="80" x14ac:dyDescent="0.2">
      <c r="A44" s="3" t="s">
        <v>2385</v>
      </c>
      <c r="B44" s="3" t="s">
        <v>2516</v>
      </c>
      <c r="C44" t="s">
        <v>63</v>
      </c>
      <c r="D44"/>
      <c r="F44">
        <f t="shared" si="0"/>
        <v>0</v>
      </c>
      <c r="G44">
        <f t="shared" si="1"/>
        <v>0</v>
      </c>
    </row>
    <row r="45" spans="1:7" ht="80" x14ac:dyDescent="0.2">
      <c r="A45" s="3" t="s">
        <v>2386</v>
      </c>
      <c r="B45" s="3" t="s">
        <v>2517</v>
      </c>
      <c r="C45" t="s">
        <v>127</v>
      </c>
      <c r="D45"/>
      <c r="F45">
        <f t="shared" si="0"/>
        <v>0</v>
      </c>
      <c r="G45">
        <f t="shared" si="1"/>
        <v>0</v>
      </c>
    </row>
    <row r="46" spans="1:7" ht="80" x14ac:dyDescent="0.2">
      <c r="A46" s="3" t="s">
        <v>2387</v>
      </c>
      <c r="B46" s="3" t="s">
        <v>2518</v>
      </c>
      <c r="C46" t="s">
        <v>61</v>
      </c>
      <c r="D46"/>
      <c r="F46">
        <f t="shared" si="0"/>
        <v>0</v>
      </c>
      <c r="G46">
        <f t="shared" si="1"/>
        <v>0</v>
      </c>
    </row>
    <row r="47" spans="1:7" ht="32" x14ac:dyDescent="0.2">
      <c r="A47" s="3" t="s">
        <v>2388</v>
      </c>
      <c r="B47" s="3" t="s">
        <v>2519</v>
      </c>
      <c r="C47" t="s">
        <v>213</v>
      </c>
      <c r="D47"/>
      <c r="F47">
        <f t="shared" si="0"/>
        <v>0</v>
      </c>
      <c r="G47">
        <f t="shared" si="1"/>
        <v>0</v>
      </c>
    </row>
    <row r="48" spans="1:7" ht="64" x14ac:dyDescent="0.2">
      <c r="A48" s="3" t="s">
        <v>2389</v>
      </c>
      <c r="B48" s="3" t="s">
        <v>2520</v>
      </c>
      <c r="C48" t="s">
        <v>273</v>
      </c>
      <c r="D48"/>
      <c r="F48">
        <f t="shared" si="0"/>
        <v>0</v>
      </c>
      <c r="G48">
        <f t="shared" si="1"/>
        <v>0</v>
      </c>
    </row>
    <row r="49" spans="1:7" ht="64" x14ac:dyDescent="0.2">
      <c r="A49" s="3" t="s">
        <v>2390</v>
      </c>
      <c r="B49" s="3" t="s">
        <v>2521</v>
      </c>
      <c r="C49" t="s">
        <v>140</v>
      </c>
      <c r="D49"/>
      <c r="F49">
        <f t="shared" si="0"/>
        <v>0</v>
      </c>
      <c r="G49">
        <f t="shared" si="1"/>
        <v>0</v>
      </c>
    </row>
    <row r="50" spans="1:7" ht="64" x14ac:dyDescent="0.2">
      <c r="A50" s="3" t="s">
        <v>2391</v>
      </c>
      <c r="B50" s="3" t="s">
        <v>2522</v>
      </c>
      <c r="C50" t="s">
        <v>28</v>
      </c>
      <c r="D50"/>
      <c r="F50">
        <f t="shared" si="0"/>
        <v>0</v>
      </c>
      <c r="G50">
        <f t="shared" si="1"/>
        <v>0</v>
      </c>
    </row>
    <row r="51" spans="1:7" ht="32" x14ac:dyDescent="0.2">
      <c r="A51" s="3" t="s">
        <v>2392</v>
      </c>
      <c r="B51" s="3" t="s">
        <v>2523</v>
      </c>
      <c r="C51" t="s">
        <v>189</v>
      </c>
      <c r="D51"/>
      <c r="F51">
        <f t="shared" si="0"/>
        <v>0</v>
      </c>
      <c r="G51">
        <f t="shared" si="1"/>
        <v>0</v>
      </c>
    </row>
    <row r="52" spans="1:7" ht="64" x14ac:dyDescent="0.2">
      <c r="A52" s="3" t="s">
        <v>2393</v>
      </c>
      <c r="B52" s="3" t="s">
        <v>2524</v>
      </c>
      <c r="C52" t="s">
        <v>15</v>
      </c>
      <c r="D52"/>
      <c r="F52">
        <f t="shared" si="0"/>
        <v>0</v>
      </c>
      <c r="G52">
        <f t="shared" si="1"/>
        <v>0</v>
      </c>
    </row>
    <row r="53" spans="1:7" ht="64" x14ac:dyDescent="0.2">
      <c r="A53" s="3" t="s">
        <v>2394</v>
      </c>
      <c r="B53" s="3" t="s">
        <v>2525</v>
      </c>
      <c r="C53" t="s">
        <v>2457</v>
      </c>
      <c r="D53"/>
      <c r="F53">
        <f t="shared" si="0"/>
        <v>0</v>
      </c>
      <c r="G53">
        <f t="shared" si="1"/>
        <v>0</v>
      </c>
    </row>
    <row r="54" spans="1:7" ht="64" x14ac:dyDescent="0.2">
      <c r="A54" s="3" t="s">
        <v>2395</v>
      </c>
      <c r="B54" s="3" t="s">
        <v>2526</v>
      </c>
      <c r="C54" t="s">
        <v>2458</v>
      </c>
      <c r="D54"/>
      <c r="F54">
        <f t="shared" si="0"/>
        <v>0</v>
      </c>
      <c r="G54">
        <f t="shared" si="1"/>
        <v>0</v>
      </c>
    </row>
    <row r="55" spans="1:7" ht="32" x14ac:dyDescent="0.2">
      <c r="A55" s="3" t="s">
        <v>2396</v>
      </c>
      <c r="B55" s="3" t="s">
        <v>2527</v>
      </c>
      <c r="C55" t="s">
        <v>2459</v>
      </c>
      <c r="D55"/>
      <c r="F55">
        <f t="shared" si="0"/>
        <v>0</v>
      </c>
      <c r="G55">
        <f t="shared" si="1"/>
        <v>0</v>
      </c>
    </row>
    <row r="56" spans="1:7" ht="64" x14ac:dyDescent="0.2">
      <c r="A56" s="3" t="s">
        <v>2397</v>
      </c>
      <c r="B56" s="3" t="s">
        <v>2528</v>
      </c>
      <c r="C56" t="s">
        <v>61</v>
      </c>
      <c r="D56"/>
      <c r="F56">
        <f t="shared" si="0"/>
        <v>0</v>
      </c>
      <c r="G56">
        <f t="shared" si="1"/>
        <v>0</v>
      </c>
    </row>
    <row r="57" spans="1:7" ht="64" x14ac:dyDescent="0.2">
      <c r="A57" s="3" t="s">
        <v>2398</v>
      </c>
      <c r="B57" s="3" t="s">
        <v>2529</v>
      </c>
      <c r="C57" t="s">
        <v>77</v>
      </c>
      <c r="D57"/>
      <c r="F57">
        <f t="shared" si="0"/>
        <v>0</v>
      </c>
      <c r="G57">
        <f t="shared" si="1"/>
        <v>0</v>
      </c>
    </row>
    <row r="58" spans="1:7" ht="64" x14ac:dyDescent="0.2">
      <c r="A58" s="3" t="s">
        <v>2399</v>
      </c>
      <c r="B58" s="3" t="s">
        <v>2530</v>
      </c>
      <c r="C58" t="s">
        <v>1865</v>
      </c>
      <c r="D58"/>
      <c r="F58">
        <f t="shared" si="0"/>
        <v>0</v>
      </c>
      <c r="G58">
        <f t="shared" si="1"/>
        <v>0</v>
      </c>
    </row>
    <row r="59" spans="1:7" ht="80" x14ac:dyDescent="0.2">
      <c r="A59" s="3" t="s">
        <v>2400</v>
      </c>
      <c r="B59" s="3" t="s">
        <v>2572</v>
      </c>
      <c r="C59" t="s">
        <v>2460</v>
      </c>
      <c r="D59"/>
      <c r="F59">
        <f t="shared" si="0"/>
        <v>0</v>
      </c>
      <c r="G59">
        <f t="shared" si="1"/>
        <v>0</v>
      </c>
    </row>
    <row r="60" spans="1:7" ht="80" x14ac:dyDescent="0.2">
      <c r="A60" s="3" t="s">
        <v>2401</v>
      </c>
      <c r="B60" s="3" t="s">
        <v>2531</v>
      </c>
      <c r="C60" t="s">
        <v>39</v>
      </c>
      <c r="D60"/>
      <c r="F60">
        <f t="shared" si="0"/>
        <v>0</v>
      </c>
      <c r="G60">
        <f t="shared" si="1"/>
        <v>0</v>
      </c>
    </row>
    <row r="61" spans="1:7" ht="64" x14ac:dyDescent="0.2">
      <c r="A61" s="3" t="s">
        <v>2402</v>
      </c>
      <c r="B61" s="3" t="s">
        <v>2532</v>
      </c>
      <c r="C61" t="s">
        <v>211</v>
      </c>
      <c r="D61"/>
      <c r="F61">
        <f t="shared" si="0"/>
        <v>0</v>
      </c>
      <c r="G61">
        <f t="shared" si="1"/>
        <v>0</v>
      </c>
    </row>
    <row r="62" spans="1:7" ht="80" x14ac:dyDescent="0.2">
      <c r="A62" s="3" t="s">
        <v>2403</v>
      </c>
      <c r="B62" s="3" t="s">
        <v>2533</v>
      </c>
      <c r="C62" t="s">
        <v>15</v>
      </c>
      <c r="D62"/>
      <c r="F62">
        <f t="shared" si="0"/>
        <v>0</v>
      </c>
      <c r="G62">
        <f t="shared" si="1"/>
        <v>0</v>
      </c>
    </row>
    <row r="63" spans="1:7" ht="80" x14ac:dyDescent="0.2">
      <c r="A63" s="3" t="s">
        <v>2404</v>
      </c>
      <c r="B63" s="3" t="s">
        <v>2534</v>
      </c>
      <c r="C63" t="s">
        <v>214</v>
      </c>
      <c r="D63" t="s">
        <v>216</v>
      </c>
      <c r="F63">
        <f t="shared" si="0"/>
        <v>1</v>
      </c>
      <c r="G63">
        <f t="shared" si="1"/>
        <v>0</v>
      </c>
    </row>
    <row r="64" spans="1:7" ht="64" x14ac:dyDescent="0.2">
      <c r="A64" s="3" t="s">
        <v>2405</v>
      </c>
      <c r="B64" s="3" t="s">
        <v>2535</v>
      </c>
      <c r="C64" t="s">
        <v>224</v>
      </c>
      <c r="D64"/>
      <c r="F64">
        <f t="shared" si="0"/>
        <v>0</v>
      </c>
      <c r="G64">
        <f t="shared" si="1"/>
        <v>0</v>
      </c>
    </row>
    <row r="65" spans="1:7" ht="64" x14ac:dyDescent="0.2">
      <c r="A65" s="3" t="s">
        <v>2406</v>
      </c>
      <c r="B65" s="3" t="s">
        <v>2536</v>
      </c>
      <c r="C65" t="s">
        <v>2456</v>
      </c>
      <c r="D65"/>
      <c r="F65">
        <f t="shared" si="0"/>
        <v>0</v>
      </c>
      <c r="G65">
        <f t="shared" si="1"/>
        <v>0</v>
      </c>
    </row>
    <row r="66" spans="1:7" ht="64" x14ac:dyDescent="0.2">
      <c r="A66" s="3" t="s">
        <v>2407</v>
      </c>
      <c r="B66" s="3" t="s">
        <v>2537</v>
      </c>
      <c r="C66" t="s">
        <v>224</v>
      </c>
      <c r="D66"/>
      <c r="F66">
        <f t="shared" si="0"/>
        <v>0</v>
      </c>
      <c r="G66">
        <f t="shared" si="1"/>
        <v>0</v>
      </c>
    </row>
    <row r="67" spans="1:7" ht="64" x14ac:dyDescent="0.2">
      <c r="A67" s="3" t="s">
        <v>2408</v>
      </c>
      <c r="B67" s="3" t="s">
        <v>2538</v>
      </c>
      <c r="C67" t="s">
        <v>188</v>
      </c>
      <c r="D67"/>
      <c r="F67">
        <f t="shared" ref="F67:F101" si="2">IF(D67="",0,1)</f>
        <v>0</v>
      </c>
      <c r="G67">
        <f t="shared" ref="G67:G101" si="3">IF(E67="",0,1)</f>
        <v>0</v>
      </c>
    </row>
    <row r="68" spans="1:7" ht="48" x14ac:dyDescent="0.2">
      <c r="A68" s="3" t="s">
        <v>2409</v>
      </c>
      <c r="B68" s="3" t="s">
        <v>2539</v>
      </c>
      <c r="C68" t="s">
        <v>2461</v>
      </c>
      <c r="D68"/>
      <c r="F68">
        <f t="shared" si="2"/>
        <v>0</v>
      </c>
      <c r="G68">
        <f t="shared" si="3"/>
        <v>0</v>
      </c>
    </row>
    <row r="69" spans="1:7" ht="48" x14ac:dyDescent="0.2">
      <c r="A69" s="3" t="s">
        <v>2410</v>
      </c>
      <c r="B69" s="3" t="s">
        <v>2540</v>
      </c>
      <c r="C69" t="s">
        <v>2462</v>
      </c>
      <c r="D69"/>
      <c r="F69">
        <f t="shared" si="2"/>
        <v>0</v>
      </c>
      <c r="G69">
        <f t="shared" si="3"/>
        <v>0</v>
      </c>
    </row>
    <row r="70" spans="1:7" ht="32" x14ac:dyDescent="0.2">
      <c r="A70" s="3" t="s">
        <v>2411</v>
      </c>
      <c r="B70" s="3" t="s">
        <v>2541</v>
      </c>
      <c r="C70" t="s">
        <v>122</v>
      </c>
      <c r="D70"/>
      <c r="F70">
        <f t="shared" si="2"/>
        <v>0</v>
      </c>
      <c r="G70">
        <f t="shared" si="3"/>
        <v>0</v>
      </c>
    </row>
    <row r="71" spans="1:7" ht="64" x14ac:dyDescent="0.2">
      <c r="A71" s="3" t="s">
        <v>2412</v>
      </c>
      <c r="B71" s="3" t="s">
        <v>2542</v>
      </c>
      <c r="C71" t="s">
        <v>19</v>
      </c>
      <c r="D71"/>
      <c r="F71">
        <f t="shared" si="2"/>
        <v>0</v>
      </c>
      <c r="G71">
        <f t="shared" si="3"/>
        <v>0</v>
      </c>
    </row>
    <row r="72" spans="1:7" ht="64" x14ac:dyDescent="0.2">
      <c r="A72" s="3" t="s">
        <v>2413</v>
      </c>
      <c r="B72" s="3" t="s">
        <v>2543</v>
      </c>
      <c r="C72" t="s">
        <v>2463</v>
      </c>
      <c r="D72"/>
      <c r="F72">
        <f t="shared" si="2"/>
        <v>0</v>
      </c>
      <c r="G72">
        <f t="shared" si="3"/>
        <v>0</v>
      </c>
    </row>
    <row r="73" spans="1:7" ht="32" x14ac:dyDescent="0.2">
      <c r="A73" s="3" t="s">
        <v>2414</v>
      </c>
      <c r="B73" s="3" t="s">
        <v>2544</v>
      </c>
      <c r="C73" t="s">
        <v>202</v>
      </c>
      <c r="D73"/>
      <c r="F73">
        <f t="shared" si="2"/>
        <v>0</v>
      </c>
      <c r="G73">
        <f t="shared" si="3"/>
        <v>0</v>
      </c>
    </row>
    <row r="74" spans="1:7" ht="80" x14ac:dyDescent="0.2">
      <c r="A74" s="3" t="s">
        <v>2415</v>
      </c>
      <c r="B74" s="3" t="s">
        <v>2545</v>
      </c>
      <c r="C74" t="s">
        <v>125</v>
      </c>
      <c r="D74"/>
      <c r="F74">
        <f t="shared" si="2"/>
        <v>0</v>
      </c>
      <c r="G74">
        <f t="shared" si="3"/>
        <v>0</v>
      </c>
    </row>
    <row r="75" spans="1:7" ht="80" x14ac:dyDescent="0.2">
      <c r="A75" s="3" t="s">
        <v>2416</v>
      </c>
      <c r="B75" s="3" t="s">
        <v>2546</v>
      </c>
      <c r="C75" t="s">
        <v>2464</v>
      </c>
      <c r="D75"/>
      <c r="F75">
        <f t="shared" si="2"/>
        <v>0</v>
      </c>
      <c r="G75">
        <f t="shared" si="3"/>
        <v>0</v>
      </c>
    </row>
    <row r="76" spans="1:7" ht="80" x14ac:dyDescent="0.2">
      <c r="A76" s="3" t="s">
        <v>2417</v>
      </c>
      <c r="B76" s="3" t="s">
        <v>2547</v>
      </c>
      <c r="C76" t="s">
        <v>2096</v>
      </c>
      <c r="D76"/>
      <c r="F76">
        <f t="shared" si="2"/>
        <v>0</v>
      </c>
      <c r="G76">
        <f t="shared" si="3"/>
        <v>0</v>
      </c>
    </row>
    <row r="77" spans="1:7" ht="48" x14ac:dyDescent="0.2">
      <c r="A77" s="3" t="s">
        <v>2418</v>
      </c>
      <c r="B77" s="3" t="s">
        <v>2548</v>
      </c>
      <c r="C77" t="s">
        <v>264</v>
      </c>
      <c r="D77"/>
      <c r="F77">
        <f t="shared" si="2"/>
        <v>0</v>
      </c>
      <c r="G77">
        <f t="shared" si="3"/>
        <v>0</v>
      </c>
    </row>
    <row r="78" spans="1:7" ht="64" x14ac:dyDescent="0.2">
      <c r="A78" s="3" t="s">
        <v>2419</v>
      </c>
      <c r="B78" s="3" t="s">
        <v>2549</v>
      </c>
      <c r="C78" t="s">
        <v>202</v>
      </c>
      <c r="D78"/>
      <c r="F78">
        <f t="shared" si="2"/>
        <v>0</v>
      </c>
      <c r="G78">
        <f t="shared" si="3"/>
        <v>0</v>
      </c>
    </row>
    <row r="79" spans="1:7" ht="48" x14ac:dyDescent="0.2">
      <c r="A79" s="3" t="s">
        <v>2420</v>
      </c>
      <c r="B79" s="3" t="s">
        <v>2550</v>
      </c>
      <c r="C79" t="s">
        <v>185</v>
      </c>
      <c r="D79"/>
      <c r="F79">
        <f t="shared" si="2"/>
        <v>0</v>
      </c>
      <c r="G79">
        <f t="shared" si="3"/>
        <v>0</v>
      </c>
    </row>
    <row r="80" spans="1:7" ht="64" x14ac:dyDescent="0.2">
      <c r="A80" s="3" t="s">
        <v>199</v>
      </c>
      <c r="B80" s="3" t="s">
        <v>2551</v>
      </c>
      <c r="C80" t="s">
        <v>30</v>
      </c>
      <c r="D80"/>
      <c r="F80">
        <f t="shared" si="2"/>
        <v>0</v>
      </c>
      <c r="G80">
        <f t="shared" si="3"/>
        <v>0</v>
      </c>
    </row>
    <row r="81" spans="1:7" ht="64" x14ac:dyDescent="0.2">
      <c r="A81" s="3" t="s">
        <v>2421</v>
      </c>
      <c r="B81" s="3" t="s">
        <v>2552</v>
      </c>
      <c r="C81" t="s">
        <v>2465</v>
      </c>
      <c r="D81"/>
      <c r="F81">
        <f t="shared" si="2"/>
        <v>0</v>
      </c>
      <c r="G81">
        <f t="shared" si="3"/>
        <v>0</v>
      </c>
    </row>
    <row r="82" spans="1:7" ht="64" x14ac:dyDescent="0.2">
      <c r="A82" s="3" t="s">
        <v>2422</v>
      </c>
      <c r="B82" s="3" t="s">
        <v>2553</v>
      </c>
      <c r="C82" t="s">
        <v>2466</v>
      </c>
      <c r="D82"/>
      <c r="F82">
        <f t="shared" si="2"/>
        <v>0</v>
      </c>
      <c r="G82">
        <f t="shared" si="3"/>
        <v>0</v>
      </c>
    </row>
    <row r="83" spans="1:7" ht="48" x14ac:dyDescent="0.2">
      <c r="A83" s="3" t="s">
        <v>2423</v>
      </c>
      <c r="B83" s="3" t="s">
        <v>2554</v>
      </c>
      <c r="C83" t="s">
        <v>15</v>
      </c>
      <c r="D83"/>
      <c r="F83">
        <f t="shared" si="2"/>
        <v>0</v>
      </c>
      <c r="G83">
        <f t="shared" si="3"/>
        <v>0</v>
      </c>
    </row>
    <row r="84" spans="1:7" ht="64" x14ac:dyDescent="0.2">
      <c r="A84" s="3" t="s">
        <v>2424</v>
      </c>
      <c r="B84" s="3" t="s">
        <v>2555</v>
      </c>
      <c r="C84" t="s">
        <v>5</v>
      </c>
      <c r="D84"/>
      <c r="F84">
        <f t="shared" si="2"/>
        <v>0</v>
      </c>
      <c r="G84">
        <f t="shared" si="3"/>
        <v>0</v>
      </c>
    </row>
    <row r="85" spans="1:7" ht="32" x14ac:dyDescent="0.2">
      <c r="A85" s="3" t="s">
        <v>2425</v>
      </c>
      <c r="B85" s="3" t="s">
        <v>2556</v>
      </c>
      <c r="C85" t="s">
        <v>137</v>
      </c>
      <c r="D85"/>
      <c r="F85">
        <f t="shared" si="2"/>
        <v>0</v>
      </c>
      <c r="G85">
        <f t="shared" si="3"/>
        <v>0</v>
      </c>
    </row>
    <row r="86" spans="1:7" ht="64" x14ac:dyDescent="0.2">
      <c r="A86" s="3" t="s">
        <v>2426</v>
      </c>
      <c r="B86" s="7" t="s">
        <v>2557</v>
      </c>
      <c r="C86" t="s">
        <v>2467</v>
      </c>
      <c r="D86"/>
      <c r="F86">
        <f t="shared" si="2"/>
        <v>0</v>
      </c>
      <c r="G86">
        <f t="shared" si="3"/>
        <v>0</v>
      </c>
    </row>
    <row r="87" spans="1:7" ht="80" x14ac:dyDescent="0.2">
      <c r="A87" s="3" t="s">
        <v>2427</v>
      </c>
      <c r="B87" s="7" t="s">
        <v>2558</v>
      </c>
      <c r="C87" t="s">
        <v>2468</v>
      </c>
      <c r="D87"/>
      <c r="F87">
        <f t="shared" si="2"/>
        <v>0</v>
      </c>
      <c r="G87">
        <f t="shared" si="3"/>
        <v>0</v>
      </c>
    </row>
    <row r="88" spans="1:7" ht="64" x14ac:dyDescent="0.2">
      <c r="A88" s="3" t="s">
        <v>2428</v>
      </c>
      <c r="B88" s="7" t="s">
        <v>2559</v>
      </c>
      <c r="C88" t="s">
        <v>83</v>
      </c>
      <c r="D88"/>
      <c r="F88">
        <f t="shared" si="2"/>
        <v>0</v>
      </c>
      <c r="G88">
        <f t="shared" si="3"/>
        <v>0</v>
      </c>
    </row>
    <row r="89" spans="1:7" ht="64" x14ac:dyDescent="0.2">
      <c r="A89" s="3" t="s">
        <v>2429</v>
      </c>
      <c r="B89" s="7" t="s">
        <v>2560</v>
      </c>
      <c r="C89" t="s">
        <v>3</v>
      </c>
      <c r="D89"/>
      <c r="F89">
        <f t="shared" si="2"/>
        <v>0</v>
      </c>
      <c r="G89">
        <f t="shared" si="3"/>
        <v>0</v>
      </c>
    </row>
    <row r="90" spans="1:7" ht="48" x14ac:dyDescent="0.2">
      <c r="A90" s="3" t="s">
        <v>2430</v>
      </c>
      <c r="B90" s="7" t="s">
        <v>2561</v>
      </c>
      <c r="C90" t="s">
        <v>190</v>
      </c>
      <c r="D90"/>
      <c r="F90">
        <f t="shared" si="2"/>
        <v>0</v>
      </c>
      <c r="G90">
        <f t="shared" si="3"/>
        <v>0</v>
      </c>
    </row>
    <row r="91" spans="1:7" ht="80" x14ac:dyDescent="0.2">
      <c r="A91" s="3" t="s">
        <v>2431</v>
      </c>
      <c r="B91" s="7" t="s">
        <v>2562</v>
      </c>
      <c r="C91" t="s">
        <v>61</v>
      </c>
      <c r="D91"/>
      <c r="F91">
        <f t="shared" si="2"/>
        <v>0</v>
      </c>
      <c r="G91">
        <f t="shared" si="3"/>
        <v>0</v>
      </c>
    </row>
    <row r="92" spans="1:7" ht="64" x14ac:dyDescent="0.2">
      <c r="A92" s="3" t="s">
        <v>2432</v>
      </c>
      <c r="B92" s="7" t="s">
        <v>2563</v>
      </c>
      <c r="C92" t="s">
        <v>2469</v>
      </c>
      <c r="D92"/>
      <c r="F92">
        <f t="shared" si="2"/>
        <v>0</v>
      </c>
      <c r="G92">
        <f t="shared" si="3"/>
        <v>0</v>
      </c>
    </row>
    <row r="93" spans="1:7" ht="64" x14ac:dyDescent="0.2">
      <c r="A93" s="3" t="s">
        <v>2433</v>
      </c>
      <c r="B93" s="7" t="s">
        <v>2564</v>
      </c>
      <c r="C93" t="s">
        <v>2470</v>
      </c>
      <c r="D93"/>
      <c r="F93">
        <f t="shared" si="2"/>
        <v>0</v>
      </c>
      <c r="G93">
        <f t="shared" si="3"/>
        <v>0</v>
      </c>
    </row>
    <row r="94" spans="1:7" ht="64" x14ac:dyDescent="0.2">
      <c r="A94" s="3" t="s">
        <v>2434</v>
      </c>
      <c r="B94" s="7" t="s">
        <v>2565</v>
      </c>
      <c r="C94" t="s">
        <v>2471</v>
      </c>
      <c r="D94"/>
      <c r="F94">
        <f t="shared" si="2"/>
        <v>0</v>
      </c>
      <c r="G94">
        <f t="shared" si="3"/>
        <v>0</v>
      </c>
    </row>
    <row r="95" spans="1:7" ht="32" x14ac:dyDescent="0.2">
      <c r="A95" s="3" t="s">
        <v>2435</v>
      </c>
      <c r="B95" s="7" t="s">
        <v>2566</v>
      </c>
      <c r="C95" t="s">
        <v>62</v>
      </c>
      <c r="D95"/>
      <c r="F95">
        <f t="shared" si="2"/>
        <v>0</v>
      </c>
      <c r="G95">
        <f t="shared" si="3"/>
        <v>0</v>
      </c>
    </row>
    <row r="96" spans="1:7" ht="64" x14ac:dyDescent="0.2">
      <c r="A96" s="3" t="s">
        <v>2436</v>
      </c>
      <c r="B96" s="7" t="s">
        <v>2573</v>
      </c>
      <c r="C96" t="s">
        <v>242</v>
      </c>
      <c r="D96"/>
      <c r="F96">
        <f t="shared" si="2"/>
        <v>0</v>
      </c>
      <c r="G96">
        <f t="shared" si="3"/>
        <v>0</v>
      </c>
    </row>
    <row r="97" spans="1:7" ht="64" x14ac:dyDescent="0.2">
      <c r="A97" s="3" t="s">
        <v>2437</v>
      </c>
      <c r="B97" s="7" t="s">
        <v>2567</v>
      </c>
      <c r="C97" t="s">
        <v>214</v>
      </c>
      <c r="D97"/>
      <c r="F97">
        <f t="shared" si="2"/>
        <v>0</v>
      </c>
      <c r="G97">
        <f t="shared" si="3"/>
        <v>0</v>
      </c>
    </row>
    <row r="98" spans="1:7" ht="64" x14ac:dyDescent="0.2">
      <c r="A98" s="3" t="s">
        <v>2438</v>
      </c>
      <c r="B98" s="7" t="s">
        <v>2568</v>
      </c>
      <c r="C98" t="s">
        <v>2472</v>
      </c>
      <c r="D98"/>
      <c r="F98">
        <f t="shared" si="2"/>
        <v>0</v>
      </c>
      <c r="G98">
        <f t="shared" si="3"/>
        <v>0</v>
      </c>
    </row>
    <row r="99" spans="1:7" ht="64" x14ac:dyDescent="0.2">
      <c r="A99" s="3" t="s">
        <v>2439</v>
      </c>
      <c r="B99" s="7" t="s">
        <v>2569</v>
      </c>
      <c r="C99" t="s">
        <v>19</v>
      </c>
      <c r="D99"/>
      <c r="F99">
        <f t="shared" si="2"/>
        <v>0</v>
      </c>
      <c r="G99">
        <f t="shared" si="3"/>
        <v>0</v>
      </c>
    </row>
    <row r="100" spans="1:7" ht="80" x14ac:dyDescent="0.2">
      <c r="A100" s="3" t="s">
        <v>2440</v>
      </c>
      <c r="B100" s="7" t="s">
        <v>2570</v>
      </c>
      <c r="C100" t="s">
        <v>2473</v>
      </c>
      <c r="D100"/>
      <c r="F100">
        <f t="shared" si="2"/>
        <v>0</v>
      </c>
      <c r="G100">
        <f t="shared" si="3"/>
        <v>0</v>
      </c>
    </row>
    <row r="101" spans="1:7" ht="64" x14ac:dyDescent="0.2">
      <c r="A101" s="3" t="s">
        <v>2441</v>
      </c>
      <c r="B101" s="7" t="s">
        <v>2571</v>
      </c>
      <c r="C101" t="s">
        <v>223</v>
      </c>
      <c r="D101"/>
      <c r="F101">
        <f t="shared" si="2"/>
        <v>0</v>
      </c>
      <c r="G101">
        <f t="shared" si="3"/>
        <v>0</v>
      </c>
    </row>
    <row r="103" spans="1:7" x14ac:dyDescent="0.2">
      <c r="F103" s="10">
        <f>SUM(F2:F101)</f>
        <v>3</v>
      </c>
      <c r="G103" s="10">
        <f>SUM(G2:G101)</f>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8543B-973F-454E-9D60-CC9974E9A6C6}">
  <dimension ref="A1:G107"/>
  <sheetViews>
    <sheetView topLeftCell="A93" zoomScale="150" zoomScaleNormal="150" workbookViewId="0">
      <selection activeCell="D102" sqref="D102"/>
    </sheetView>
  </sheetViews>
  <sheetFormatPr baseColWidth="10" defaultRowHeight="15" x14ac:dyDescent="0.2"/>
  <cols>
    <col min="1" max="1" width="50.83203125" style="3" customWidth="1"/>
    <col min="2" max="2" width="58.83203125" style="7" customWidth="1"/>
    <col min="3" max="3" width="8.83203125"/>
    <col min="4" max="4" width="15.1640625" style="9" customWidth="1"/>
    <col min="5" max="5" width="13.33203125" customWidth="1"/>
  </cols>
  <sheetData>
    <row r="1" spans="1:7" ht="16" x14ac:dyDescent="0.2">
      <c r="A1" s="2" t="s">
        <v>0</v>
      </c>
      <c r="B1" s="6" t="s">
        <v>101</v>
      </c>
      <c r="C1" s="1" t="s">
        <v>1</v>
      </c>
      <c r="D1" s="8" t="s">
        <v>44</v>
      </c>
      <c r="E1" s="1" t="s">
        <v>45</v>
      </c>
      <c r="F1" s="1" t="s">
        <v>44</v>
      </c>
      <c r="G1" s="1" t="s">
        <v>45</v>
      </c>
    </row>
    <row r="2" spans="1:7" ht="64" x14ac:dyDescent="0.2">
      <c r="A2" s="3" t="s">
        <v>5132</v>
      </c>
      <c r="B2" s="7" t="s">
        <v>5279</v>
      </c>
      <c r="C2" t="s">
        <v>4609</v>
      </c>
      <c r="E2" t="s">
        <v>168</v>
      </c>
      <c r="F2">
        <f>IF(D2="",0,1)</f>
        <v>0</v>
      </c>
      <c r="G2">
        <f>IF(E2="",0,1)</f>
        <v>1</v>
      </c>
    </row>
    <row r="3" spans="1:7" ht="64" x14ac:dyDescent="0.2">
      <c r="A3" s="3" t="s">
        <v>5133</v>
      </c>
      <c r="B3" s="7" t="s">
        <v>5280</v>
      </c>
      <c r="C3" t="s">
        <v>5232</v>
      </c>
      <c r="F3">
        <f t="shared" ref="F3:G66" si="0">IF(D3="",0,1)</f>
        <v>0</v>
      </c>
      <c r="G3">
        <f t="shared" si="0"/>
        <v>0</v>
      </c>
    </row>
    <row r="4" spans="1:7" ht="64" x14ac:dyDescent="0.2">
      <c r="A4" s="3" t="s">
        <v>5134</v>
      </c>
      <c r="B4" s="7" t="s">
        <v>5281</v>
      </c>
      <c r="C4" t="s">
        <v>77</v>
      </c>
      <c r="F4">
        <f t="shared" si="0"/>
        <v>0</v>
      </c>
      <c r="G4">
        <f t="shared" si="0"/>
        <v>0</v>
      </c>
    </row>
    <row r="5" spans="1:7" ht="48" x14ac:dyDescent="0.2">
      <c r="A5" s="3" t="s">
        <v>5135</v>
      </c>
      <c r="B5" s="7" t="s">
        <v>5282</v>
      </c>
      <c r="C5" t="s">
        <v>5233</v>
      </c>
      <c r="F5">
        <f t="shared" si="0"/>
        <v>0</v>
      </c>
      <c r="G5">
        <f t="shared" si="0"/>
        <v>0</v>
      </c>
    </row>
    <row r="6" spans="1:7" ht="48" x14ac:dyDescent="0.2">
      <c r="A6" s="3" t="s">
        <v>5136</v>
      </c>
      <c r="B6" s="7" t="s">
        <v>5283</v>
      </c>
      <c r="C6" t="s">
        <v>184</v>
      </c>
      <c r="F6">
        <f t="shared" si="0"/>
        <v>0</v>
      </c>
      <c r="G6">
        <f t="shared" si="0"/>
        <v>0</v>
      </c>
    </row>
    <row r="7" spans="1:7" ht="48" x14ac:dyDescent="0.2">
      <c r="A7" s="3" t="s">
        <v>5137</v>
      </c>
      <c r="B7" s="7" t="s">
        <v>5284</v>
      </c>
      <c r="C7" t="s">
        <v>70</v>
      </c>
      <c r="F7">
        <f t="shared" si="0"/>
        <v>0</v>
      </c>
      <c r="G7">
        <f t="shared" si="0"/>
        <v>0</v>
      </c>
    </row>
    <row r="8" spans="1:7" ht="48" x14ac:dyDescent="0.2">
      <c r="A8" s="3" t="s">
        <v>5138</v>
      </c>
      <c r="B8" s="7" t="s">
        <v>5285</v>
      </c>
      <c r="C8" t="s">
        <v>5234</v>
      </c>
      <c r="F8">
        <f t="shared" si="0"/>
        <v>0</v>
      </c>
      <c r="G8">
        <f t="shared" si="0"/>
        <v>0</v>
      </c>
    </row>
    <row r="9" spans="1:7" ht="64" x14ac:dyDescent="0.2">
      <c r="A9" s="3" t="s">
        <v>5139</v>
      </c>
      <c r="B9" s="7" t="s">
        <v>5286</v>
      </c>
      <c r="C9" t="s">
        <v>3150</v>
      </c>
      <c r="F9">
        <f t="shared" si="0"/>
        <v>0</v>
      </c>
      <c r="G9">
        <f t="shared" si="0"/>
        <v>0</v>
      </c>
    </row>
    <row r="10" spans="1:7" ht="48" x14ac:dyDescent="0.2">
      <c r="A10" s="3" t="s">
        <v>5140</v>
      </c>
      <c r="B10" s="7" t="s">
        <v>5287</v>
      </c>
      <c r="C10" t="s">
        <v>5235</v>
      </c>
      <c r="E10" t="s">
        <v>86</v>
      </c>
      <c r="F10">
        <f t="shared" si="0"/>
        <v>0</v>
      </c>
      <c r="G10">
        <f t="shared" si="0"/>
        <v>1</v>
      </c>
    </row>
    <row r="11" spans="1:7" ht="48" x14ac:dyDescent="0.2">
      <c r="A11" s="3" t="s">
        <v>5141</v>
      </c>
      <c r="B11" s="7" t="s">
        <v>5288</v>
      </c>
      <c r="C11" t="s">
        <v>66</v>
      </c>
      <c r="F11">
        <f t="shared" si="0"/>
        <v>0</v>
      </c>
      <c r="G11">
        <f t="shared" si="0"/>
        <v>0</v>
      </c>
    </row>
    <row r="12" spans="1:7" ht="48" x14ac:dyDescent="0.2">
      <c r="A12" s="3" t="s">
        <v>5142</v>
      </c>
      <c r="B12" s="7" t="s">
        <v>5289</v>
      </c>
      <c r="C12" t="s">
        <v>103</v>
      </c>
      <c r="F12">
        <f t="shared" si="0"/>
        <v>0</v>
      </c>
      <c r="G12">
        <f t="shared" si="0"/>
        <v>0</v>
      </c>
    </row>
    <row r="13" spans="1:7" ht="48" x14ac:dyDescent="0.2">
      <c r="A13" s="3" t="s">
        <v>5143</v>
      </c>
      <c r="B13" s="7" t="s">
        <v>5290</v>
      </c>
      <c r="C13" t="s">
        <v>5236</v>
      </c>
      <c r="F13">
        <f t="shared" si="0"/>
        <v>0</v>
      </c>
      <c r="G13">
        <f t="shared" si="0"/>
        <v>0</v>
      </c>
    </row>
    <row r="14" spans="1:7" ht="48" x14ac:dyDescent="0.2">
      <c r="A14" s="3" t="s">
        <v>5144</v>
      </c>
      <c r="B14" s="7" t="s">
        <v>5291</v>
      </c>
      <c r="C14" t="s">
        <v>6</v>
      </c>
      <c r="F14">
        <f t="shared" si="0"/>
        <v>0</v>
      </c>
      <c r="G14">
        <f t="shared" si="0"/>
        <v>0</v>
      </c>
    </row>
    <row r="15" spans="1:7" ht="48" x14ac:dyDescent="0.2">
      <c r="A15" s="3" t="s">
        <v>5145</v>
      </c>
      <c r="B15" s="7" t="s">
        <v>5292</v>
      </c>
      <c r="C15" t="s">
        <v>5237</v>
      </c>
      <c r="F15">
        <f t="shared" si="0"/>
        <v>0</v>
      </c>
      <c r="G15">
        <f t="shared" si="0"/>
        <v>0</v>
      </c>
    </row>
    <row r="16" spans="1:7" ht="32" x14ac:dyDescent="0.2">
      <c r="A16" s="3" t="s">
        <v>5146</v>
      </c>
      <c r="B16" s="7" t="s">
        <v>5293</v>
      </c>
      <c r="C16" t="s">
        <v>66</v>
      </c>
      <c r="F16">
        <f t="shared" si="0"/>
        <v>0</v>
      </c>
      <c r="G16">
        <f t="shared" si="0"/>
        <v>0</v>
      </c>
    </row>
    <row r="17" spans="1:7" ht="48" x14ac:dyDescent="0.2">
      <c r="A17" s="3" t="s">
        <v>5147</v>
      </c>
      <c r="B17" s="7" t="s">
        <v>5294</v>
      </c>
      <c r="C17" t="s">
        <v>669</v>
      </c>
      <c r="F17">
        <f t="shared" si="0"/>
        <v>0</v>
      </c>
      <c r="G17">
        <f t="shared" si="0"/>
        <v>0</v>
      </c>
    </row>
    <row r="18" spans="1:7" ht="64" x14ac:dyDescent="0.2">
      <c r="A18" s="3" t="s">
        <v>5148</v>
      </c>
      <c r="B18" s="7" t="s">
        <v>5295</v>
      </c>
      <c r="C18" t="s">
        <v>68</v>
      </c>
      <c r="F18">
        <f t="shared" si="0"/>
        <v>0</v>
      </c>
      <c r="G18">
        <f t="shared" si="0"/>
        <v>0</v>
      </c>
    </row>
    <row r="19" spans="1:7" ht="48" x14ac:dyDescent="0.2">
      <c r="A19" s="3" t="s">
        <v>5149</v>
      </c>
      <c r="B19" s="7" t="s">
        <v>5296</v>
      </c>
      <c r="C19" t="s">
        <v>5238</v>
      </c>
      <c r="F19">
        <f t="shared" si="0"/>
        <v>0</v>
      </c>
      <c r="G19">
        <f t="shared" si="0"/>
        <v>0</v>
      </c>
    </row>
    <row r="20" spans="1:7" ht="48" x14ac:dyDescent="0.2">
      <c r="A20" s="3" t="s">
        <v>5150</v>
      </c>
      <c r="B20" s="7" t="s">
        <v>5297</v>
      </c>
      <c r="C20" t="s">
        <v>5239</v>
      </c>
      <c r="F20">
        <f t="shared" si="0"/>
        <v>0</v>
      </c>
      <c r="G20">
        <f t="shared" si="0"/>
        <v>0</v>
      </c>
    </row>
    <row r="21" spans="1:7" ht="64" x14ac:dyDescent="0.2">
      <c r="A21" s="3" t="s">
        <v>5151</v>
      </c>
      <c r="B21" s="7" t="s">
        <v>5298</v>
      </c>
      <c r="C21" t="s">
        <v>5240</v>
      </c>
      <c r="F21">
        <f t="shared" si="0"/>
        <v>0</v>
      </c>
      <c r="G21">
        <f t="shared" si="0"/>
        <v>0</v>
      </c>
    </row>
    <row r="22" spans="1:7" ht="48" x14ac:dyDescent="0.2">
      <c r="A22" s="3" t="s">
        <v>5152</v>
      </c>
      <c r="B22" s="7" t="s">
        <v>5299</v>
      </c>
      <c r="C22" t="s">
        <v>291</v>
      </c>
      <c r="F22">
        <f t="shared" si="0"/>
        <v>0</v>
      </c>
      <c r="G22">
        <f t="shared" si="0"/>
        <v>0</v>
      </c>
    </row>
    <row r="23" spans="1:7" ht="48" x14ac:dyDescent="0.2">
      <c r="A23" s="3" t="s">
        <v>5153</v>
      </c>
      <c r="B23" s="7" t="s">
        <v>5300</v>
      </c>
      <c r="C23" t="s">
        <v>5241</v>
      </c>
      <c r="F23">
        <f t="shared" si="0"/>
        <v>0</v>
      </c>
      <c r="G23">
        <f t="shared" si="0"/>
        <v>0</v>
      </c>
    </row>
    <row r="24" spans="1:7" ht="48" x14ac:dyDescent="0.2">
      <c r="A24" s="3" t="s">
        <v>5154</v>
      </c>
      <c r="B24" s="7" t="s">
        <v>5301</v>
      </c>
      <c r="C24" t="s">
        <v>5</v>
      </c>
      <c r="F24">
        <f t="shared" si="0"/>
        <v>0</v>
      </c>
      <c r="G24">
        <f t="shared" si="0"/>
        <v>0</v>
      </c>
    </row>
    <row r="25" spans="1:7" ht="48" x14ac:dyDescent="0.2">
      <c r="A25" s="3" t="s">
        <v>5155</v>
      </c>
      <c r="B25" s="7" t="s">
        <v>5302</v>
      </c>
      <c r="C25" t="s">
        <v>5242</v>
      </c>
      <c r="F25">
        <f t="shared" si="0"/>
        <v>0</v>
      </c>
      <c r="G25">
        <f t="shared" si="0"/>
        <v>0</v>
      </c>
    </row>
    <row r="26" spans="1:7" ht="64" x14ac:dyDescent="0.2">
      <c r="A26" s="3" t="s">
        <v>5156</v>
      </c>
      <c r="B26" s="7" t="s">
        <v>5303</v>
      </c>
      <c r="C26" t="s">
        <v>5243</v>
      </c>
      <c r="F26">
        <f t="shared" si="0"/>
        <v>0</v>
      </c>
      <c r="G26">
        <f t="shared" si="0"/>
        <v>0</v>
      </c>
    </row>
    <row r="27" spans="1:7" ht="64" x14ac:dyDescent="0.2">
      <c r="A27" s="3" t="s">
        <v>5157</v>
      </c>
      <c r="B27" s="7" t="s">
        <v>5304</v>
      </c>
      <c r="C27" t="s">
        <v>5244</v>
      </c>
      <c r="F27">
        <f t="shared" si="0"/>
        <v>0</v>
      </c>
      <c r="G27">
        <f t="shared" si="0"/>
        <v>0</v>
      </c>
    </row>
    <row r="28" spans="1:7" ht="64" x14ac:dyDescent="0.2">
      <c r="A28" s="3" t="s">
        <v>5158</v>
      </c>
      <c r="B28" s="7" t="s">
        <v>5305</v>
      </c>
      <c r="C28" t="s">
        <v>5245</v>
      </c>
      <c r="F28">
        <f t="shared" si="0"/>
        <v>0</v>
      </c>
      <c r="G28">
        <f t="shared" si="0"/>
        <v>0</v>
      </c>
    </row>
    <row r="29" spans="1:7" ht="48" x14ac:dyDescent="0.2">
      <c r="A29" s="3" t="s">
        <v>5159</v>
      </c>
      <c r="B29" s="7" t="s">
        <v>5306</v>
      </c>
      <c r="C29" t="s">
        <v>5246</v>
      </c>
      <c r="F29">
        <f t="shared" si="0"/>
        <v>0</v>
      </c>
      <c r="G29">
        <f t="shared" si="0"/>
        <v>0</v>
      </c>
    </row>
    <row r="30" spans="1:7" ht="64" x14ac:dyDescent="0.2">
      <c r="A30" s="3" t="s">
        <v>5160</v>
      </c>
      <c r="B30" s="7" t="s">
        <v>5307</v>
      </c>
      <c r="C30" t="s">
        <v>5247</v>
      </c>
      <c r="F30">
        <f t="shared" si="0"/>
        <v>0</v>
      </c>
      <c r="G30">
        <f t="shared" si="0"/>
        <v>0</v>
      </c>
    </row>
    <row r="31" spans="1:7" ht="64" x14ac:dyDescent="0.2">
      <c r="A31" s="3" t="s">
        <v>5161</v>
      </c>
      <c r="B31" s="7" t="s">
        <v>5308</v>
      </c>
      <c r="C31" t="s">
        <v>183</v>
      </c>
      <c r="F31">
        <f t="shared" si="0"/>
        <v>0</v>
      </c>
      <c r="G31">
        <f t="shared" si="0"/>
        <v>0</v>
      </c>
    </row>
    <row r="32" spans="1:7" ht="48" x14ac:dyDescent="0.2">
      <c r="A32" s="3" t="s">
        <v>5162</v>
      </c>
      <c r="B32" s="7" t="s">
        <v>5309</v>
      </c>
      <c r="C32" t="s">
        <v>41</v>
      </c>
      <c r="E32" t="s">
        <v>70</v>
      </c>
      <c r="F32">
        <f t="shared" si="0"/>
        <v>0</v>
      </c>
      <c r="G32">
        <v>2</v>
      </c>
    </row>
    <row r="33" spans="1:7" ht="16" x14ac:dyDescent="0.2">
      <c r="A33" s="3" t="s">
        <v>5163</v>
      </c>
      <c r="B33" s="7" t="s">
        <v>5310</v>
      </c>
      <c r="C33" t="s">
        <v>27</v>
      </c>
      <c r="F33">
        <f t="shared" si="0"/>
        <v>0</v>
      </c>
      <c r="G33">
        <f t="shared" si="0"/>
        <v>0</v>
      </c>
    </row>
    <row r="34" spans="1:7" ht="48" x14ac:dyDescent="0.2">
      <c r="A34" s="3" t="s">
        <v>5164</v>
      </c>
      <c r="B34" s="7" t="s">
        <v>5311</v>
      </c>
      <c r="C34" t="s">
        <v>5248</v>
      </c>
      <c r="F34">
        <f t="shared" si="0"/>
        <v>0</v>
      </c>
      <c r="G34">
        <f t="shared" si="0"/>
        <v>0</v>
      </c>
    </row>
    <row r="35" spans="1:7" ht="48" x14ac:dyDescent="0.2">
      <c r="A35" s="3" t="s">
        <v>5165</v>
      </c>
      <c r="B35" s="7" t="s">
        <v>5312</v>
      </c>
      <c r="C35" t="s">
        <v>5249</v>
      </c>
      <c r="F35">
        <f t="shared" si="0"/>
        <v>0</v>
      </c>
      <c r="G35">
        <f t="shared" si="0"/>
        <v>0</v>
      </c>
    </row>
    <row r="36" spans="1:7" ht="64" x14ac:dyDescent="0.2">
      <c r="A36" s="3" t="s">
        <v>5166</v>
      </c>
      <c r="B36" s="7" t="s">
        <v>5313</v>
      </c>
      <c r="C36" t="s">
        <v>5250</v>
      </c>
      <c r="F36">
        <f t="shared" si="0"/>
        <v>0</v>
      </c>
      <c r="G36">
        <f t="shared" si="0"/>
        <v>0</v>
      </c>
    </row>
    <row r="37" spans="1:7" ht="48" x14ac:dyDescent="0.2">
      <c r="A37" s="3" t="s">
        <v>5167</v>
      </c>
      <c r="B37" s="7" t="s">
        <v>5314</v>
      </c>
      <c r="C37" t="s">
        <v>114</v>
      </c>
      <c r="F37">
        <f t="shared" si="0"/>
        <v>0</v>
      </c>
      <c r="G37">
        <f t="shared" si="0"/>
        <v>0</v>
      </c>
    </row>
    <row r="38" spans="1:7" ht="64" x14ac:dyDescent="0.2">
      <c r="A38" s="3" t="s">
        <v>5168</v>
      </c>
      <c r="B38" s="7" t="s">
        <v>5315</v>
      </c>
      <c r="C38" t="s">
        <v>5251</v>
      </c>
      <c r="F38">
        <f t="shared" si="0"/>
        <v>0</v>
      </c>
      <c r="G38">
        <f t="shared" si="0"/>
        <v>0</v>
      </c>
    </row>
    <row r="39" spans="1:7" ht="64" x14ac:dyDescent="0.2">
      <c r="A39" s="3" t="s">
        <v>5169</v>
      </c>
      <c r="B39" s="7" t="s">
        <v>5316</v>
      </c>
      <c r="C39" t="s">
        <v>5252</v>
      </c>
      <c r="F39">
        <f t="shared" si="0"/>
        <v>0</v>
      </c>
      <c r="G39">
        <f t="shared" si="0"/>
        <v>0</v>
      </c>
    </row>
    <row r="40" spans="1:7" ht="48" x14ac:dyDescent="0.2">
      <c r="A40" s="3" t="s">
        <v>5170</v>
      </c>
      <c r="B40" s="7" t="s">
        <v>5317</v>
      </c>
      <c r="C40" t="s">
        <v>184</v>
      </c>
      <c r="F40">
        <f t="shared" si="0"/>
        <v>0</v>
      </c>
      <c r="G40">
        <f t="shared" si="0"/>
        <v>0</v>
      </c>
    </row>
    <row r="41" spans="1:7" ht="64" x14ac:dyDescent="0.2">
      <c r="A41" s="3" t="s">
        <v>5171</v>
      </c>
      <c r="B41" s="7" t="s">
        <v>5318</v>
      </c>
      <c r="C41" t="s">
        <v>103</v>
      </c>
      <c r="F41">
        <f t="shared" si="0"/>
        <v>0</v>
      </c>
      <c r="G41">
        <f t="shared" si="0"/>
        <v>0</v>
      </c>
    </row>
    <row r="42" spans="1:7" ht="48" x14ac:dyDescent="0.2">
      <c r="A42" s="3" t="s">
        <v>5172</v>
      </c>
      <c r="B42" s="7" t="s">
        <v>5319</v>
      </c>
      <c r="C42" t="s">
        <v>1855</v>
      </c>
      <c r="F42">
        <f t="shared" si="0"/>
        <v>0</v>
      </c>
      <c r="G42">
        <f t="shared" si="0"/>
        <v>0</v>
      </c>
    </row>
    <row r="43" spans="1:7" ht="64" x14ac:dyDescent="0.2">
      <c r="A43" s="3" t="s">
        <v>5173</v>
      </c>
      <c r="B43" s="7" t="s">
        <v>5320</v>
      </c>
      <c r="C43" t="s">
        <v>15</v>
      </c>
      <c r="F43">
        <f t="shared" si="0"/>
        <v>0</v>
      </c>
      <c r="G43">
        <f t="shared" si="0"/>
        <v>0</v>
      </c>
    </row>
    <row r="44" spans="1:7" ht="48" x14ac:dyDescent="0.2">
      <c r="A44" s="3" t="s">
        <v>5174</v>
      </c>
      <c r="B44" s="7" t="s">
        <v>5321</v>
      </c>
      <c r="C44" t="s">
        <v>5253</v>
      </c>
      <c r="F44">
        <f t="shared" si="0"/>
        <v>0</v>
      </c>
      <c r="G44">
        <f t="shared" si="0"/>
        <v>0</v>
      </c>
    </row>
    <row r="45" spans="1:7" ht="48" x14ac:dyDescent="0.2">
      <c r="A45" s="3" t="s">
        <v>5175</v>
      </c>
      <c r="B45" s="7" t="s">
        <v>5322</v>
      </c>
      <c r="C45" t="s">
        <v>5254</v>
      </c>
      <c r="D45" s="9" t="s">
        <v>5379</v>
      </c>
      <c r="F45">
        <f t="shared" si="0"/>
        <v>1</v>
      </c>
      <c r="G45">
        <f t="shared" si="0"/>
        <v>0</v>
      </c>
    </row>
    <row r="46" spans="1:7" ht="48" x14ac:dyDescent="0.2">
      <c r="A46" s="3" t="s">
        <v>5176</v>
      </c>
      <c r="B46" s="7" t="s">
        <v>5323</v>
      </c>
      <c r="C46" t="s">
        <v>81</v>
      </c>
      <c r="F46">
        <f t="shared" si="0"/>
        <v>0</v>
      </c>
      <c r="G46">
        <f t="shared" si="0"/>
        <v>0</v>
      </c>
    </row>
    <row r="47" spans="1:7" ht="64" x14ac:dyDescent="0.2">
      <c r="A47" s="3" t="s">
        <v>5177</v>
      </c>
      <c r="B47" s="7" t="s">
        <v>5324</v>
      </c>
      <c r="C47" t="s">
        <v>2</v>
      </c>
      <c r="F47">
        <f t="shared" si="0"/>
        <v>0</v>
      </c>
      <c r="G47">
        <f t="shared" si="0"/>
        <v>0</v>
      </c>
    </row>
    <row r="48" spans="1:7" ht="48" x14ac:dyDescent="0.2">
      <c r="A48" s="3" t="s">
        <v>5178</v>
      </c>
      <c r="B48" s="7" t="s">
        <v>5325</v>
      </c>
      <c r="C48" t="s">
        <v>5255</v>
      </c>
      <c r="F48">
        <f t="shared" si="0"/>
        <v>0</v>
      </c>
      <c r="G48">
        <f t="shared" si="0"/>
        <v>0</v>
      </c>
    </row>
    <row r="49" spans="1:7" ht="48" x14ac:dyDescent="0.2">
      <c r="A49" s="3" t="s">
        <v>5179</v>
      </c>
      <c r="B49" s="7" t="s">
        <v>5326</v>
      </c>
      <c r="C49" t="s">
        <v>2686</v>
      </c>
      <c r="F49">
        <f t="shared" si="0"/>
        <v>0</v>
      </c>
      <c r="G49">
        <f t="shared" si="0"/>
        <v>0</v>
      </c>
    </row>
    <row r="50" spans="1:7" ht="48" x14ac:dyDescent="0.2">
      <c r="A50" s="3" t="s">
        <v>5180</v>
      </c>
      <c r="B50" s="7" t="s">
        <v>5327</v>
      </c>
      <c r="C50" t="s">
        <v>219</v>
      </c>
      <c r="D50" s="9" t="s">
        <v>5380</v>
      </c>
      <c r="F50">
        <f t="shared" si="0"/>
        <v>1</v>
      </c>
      <c r="G50">
        <f t="shared" si="0"/>
        <v>0</v>
      </c>
    </row>
    <row r="51" spans="1:7" ht="48" x14ac:dyDescent="0.2">
      <c r="A51" s="3" t="s">
        <v>5181</v>
      </c>
      <c r="B51" s="7" t="s">
        <v>5328</v>
      </c>
      <c r="C51" t="s">
        <v>5256</v>
      </c>
      <c r="F51">
        <f t="shared" si="0"/>
        <v>0</v>
      </c>
      <c r="G51">
        <f t="shared" si="0"/>
        <v>0</v>
      </c>
    </row>
    <row r="52" spans="1:7" ht="48" x14ac:dyDescent="0.2">
      <c r="A52" s="3" t="s">
        <v>5182</v>
      </c>
      <c r="B52" s="7" t="s">
        <v>5329</v>
      </c>
      <c r="C52" t="s">
        <v>20</v>
      </c>
      <c r="F52">
        <f t="shared" si="0"/>
        <v>0</v>
      </c>
      <c r="G52">
        <f t="shared" si="0"/>
        <v>0</v>
      </c>
    </row>
    <row r="53" spans="1:7" ht="64" x14ac:dyDescent="0.2">
      <c r="A53" s="3" t="s">
        <v>5183</v>
      </c>
      <c r="B53" s="7" t="s">
        <v>5330</v>
      </c>
      <c r="C53" t="s">
        <v>5257</v>
      </c>
      <c r="F53">
        <f t="shared" si="0"/>
        <v>0</v>
      </c>
      <c r="G53">
        <f t="shared" si="0"/>
        <v>0</v>
      </c>
    </row>
    <row r="54" spans="1:7" ht="48" x14ac:dyDescent="0.2">
      <c r="A54" s="3" t="s">
        <v>5184</v>
      </c>
      <c r="B54" s="7" t="s">
        <v>5331</v>
      </c>
      <c r="C54" t="s">
        <v>5258</v>
      </c>
      <c r="F54">
        <f t="shared" si="0"/>
        <v>0</v>
      </c>
      <c r="G54">
        <f t="shared" si="0"/>
        <v>0</v>
      </c>
    </row>
    <row r="55" spans="1:7" ht="64" x14ac:dyDescent="0.2">
      <c r="A55" s="3" t="s">
        <v>5185</v>
      </c>
      <c r="B55" s="7" t="s">
        <v>5332</v>
      </c>
      <c r="C55" t="s">
        <v>5259</v>
      </c>
      <c r="F55">
        <f t="shared" si="0"/>
        <v>0</v>
      </c>
      <c r="G55">
        <f t="shared" si="0"/>
        <v>0</v>
      </c>
    </row>
    <row r="56" spans="1:7" ht="64" x14ac:dyDescent="0.2">
      <c r="A56" s="3" t="s">
        <v>5186</v>
      </c>
      <c r="B56" s="7" t="s">
        <v>5333</v>
      </c>
      <c r="C56" t="s">
        <v>5260</v>
      </c>
      <c r="E56" t="s">
        <v>49</v>
      </c>
      <c r="F56">
        <f t="shared" si="0"/>
        <v>0</v>
      </c>
      <c r="G56">
        <f t="shared" si="0"/>
        <v>1</v>
      </c>
    </row>
    <row r="57" spans="1:7" ht="48" x14ac:dyDescent="0.2">
      <c r="A57" s="3" t="s">
        <v>5187</v>
      </c>
      <c r="B57" s="7" t="s">
        <v>5334</v>
      </c>
      <c r="C57" t="s">
        <v>5261</v>
      </c>
      <c r="F57">
        <f t="shared" si="0"/>
        <v>0</v>
      </c>
      <c r="G57">
        <f t="shared" si="0"/>
        <v>0</v>
      </c>
    </row>
    <row r="58" spans="1:7" ht="64" x14ac:dyDescent="0.2">
      <c r="A58" s="3" t="s">
        <v>5188</v>
      </c>
      <c r="B58" s="7" t="s">
        <v>5335</v>
      </c>
      <c r="C58" t="s">
        <v>5242</v>
      </c>
      <c r="F58">
        <f t="shared" si="0"/>
        <v>0</v>
      </c>
      <c r="G58">
        <f t="shared" si="0"/>
        <v>0</v>
      </c>
    </row>
    <row r="59" spans="1:7" ht="48" x14ac:dyDescent="0.2">
      <c r="A59" s="3" t="s">
        <v>5189</v>
      </c>
      <c r="B59" s="7" t="s">
        <v>5336</v>
      </c>
      <c r="C59" t="s">
        <v>5262</v>
      </c>
      <c r="E59" t="s">
        <v>88</v>
      </c>
      <c r="F59">
        <f t="shared" si="0"/>
        <v>0</v>
      </c>
      <c r="G59">
        <f t="shared" si="0"/>
        <v>1</v>
      </c>
    </row>
    <row r="60" spans="1:7" ht="32" x14ac:dyDescent="0.2">
      <c r="A60" s="3" t="s">
        <v>5190</v>
      </c>
      <c r="B60" s="7" t="s">
        <v>5337</v>
      </c>
      <c r="C60" t="s">
        <v>66</v>
      </c>
      <c r="F60">
        <f t="shared" si="0"/>
        <v>0</v>
      </c>
      <c r="G60">
        <f t="shared" si="0"/>
        <v>0</v>
      </c>
    </row>
    <row r="61" spans="1:7" ht="48" x14ac:dyDescent="0.2">
      <c r="A61" s="3" t="s">
        <v>5191</v>
      </c>
      <c r="B61" s="7" t="s">
        <v>5338</v>
      </c>
      <c r="C61" t="s">
        <v>3298</v>
      </c>
      <c r="F61">
        <f t="shared" si="0"/>
        <v>0</v>
      </c>
      <c r="G61">
        <f t="shared" si="0"/>
        <v>0</v>
      </c>
    </row>
    <row r="62" spans="1:7" ht="48" x14ac:dyDescent="0.2">
      <c r="A62" s="3" t="s">
        <v>5192</v>
      </c>
      <c r="B62" s="7" t="s">
        <v>5339</v>
      </c>
      <c r="C62" t="s">
        <v>4751</v>
      </c>
      <c r="F62">
        <f t="shared" si="0"/>
        <v>0</v>
      </c>
      <c r="G62">
        <f t="shared" si="0"/>
        <v>0</v>
      </c>
    </row>
    <row r="63" spans="1:7" ht="64" x14ac:dyDescent="0.2">
      <c r="A63" s="3" t="s">
        <v>5193</v>
      </c>
      <c r="B63" s="7" t="s">
        <v>5340</v>
      </c>
      <c r="C63" t="s">
        <v>41</v>
      </c>
      <c r="F63">
        <f t="shared" si="0"/>
        <v>0</v>
      </c>
      <c r="G63">
        <f t="shared" si="0"/>
        <v>0</v>
      </c>
    </row>
    <row r="64" spans="1:7" ht="48" x14ac:dyDescent="0.2">
      <c r="A64" s="3" t="s">
        <v>5194</v>
      </c>
      <c r="B64" s="7" t="s">
        <v>5341</v>
      </c>
      <c r="C64" t="s">
        <v>4939</v>
      </c>
      <c r="F64">
        <f t="shared" si="0"/>
        <v>0</v>
      </c>
      <c r="G64">
        <f t="shared" si="0"/>
        <v>0</v>
      </c>
    </row>
    <row r="65" spans="1:7" ht="64" x14ac:dyDescent="0.2">
      <c r="A65" s="3" t="s">
        <v>5195</v>
      </c>
      <c r="B65" s="7" t="s">
        <v>5342</v>
      </c>
      <c r="C65" t="s">
        <v>276</v>
      </c>
      <c r="D65" s="9" t="s">
        <v>85</v>
      </c>
      <c r="F65">
        <f t="shared" si="0"/>
        <v>1</v>
      </c>
      <c r="G65">
        <f t="shared" si="0"/>
        <v>0</v>
      </c>
    </row>
    <row r="66" spans="1:7" ht="48" x14ac:dyDescent="0.2">
      <c r="A66" s="3" t="s">
        <v>5196</v>
      </c>
      <c r="B66" s="7" t="s">
        <v>5343</v>
      </c>
      <c r="C66" t="s">
        <v>5263</v>
      </c>
      <c r="F66">
        <f t="shared" si="0"/>
        <v>0</v>
      </c>
      <c r="G66">
        <f t="shared" si="0"/>
        <v>0</v>
      </c>
    </row>
    <row r="67" spans="1:7" ht="48" x14ac:dyDescent="0.2">
      <c r="A67" s="3" t="s">
        <v>5197</v>
      </c>
      <c r="B67" s="7" t="s">
        <v>5344</v>
      </c>
      <c r="C67" t="s">
        <v>162</v>
      </c>
      <c r="F67">
        <f t="shared" ref="F67:G101" si="1">IF(D67="",0,1)</f>
        <v>0</v>
      </c>
      <c r="G67">
        <f t="shared" si="1"/>
        <v>0</v>
      </c>
    </row>
    <row r="68" spans="1:7" ht="48" x14ac:dyDescent="0.2">
      <c r="A68" s="3" t="s">
        <v>5198</v>
      </c>
      <c r="B68" s="7" t="s">
        <v>5345</v>
      </c>
      <c r="C68" t="s">
        <v>125</v>
      </c>
      <c r="F68">
        <f t="shared" si="1"/>
        <v>0</v>
      </c>
      <c r="G68">
        <f t="shared" si="1"/>
        <v>0</v>
      </c>
    </row>
    <row r="69" spans="1:7" ht="48" x14ac:dyDescent="0.2">
      <c r="A69" s="3" t="s">
        <v>5199</v>
      </c>
      <c r="B69" s="7" t="s">
        <v>5346</v>
      </c>
      <c r="C69" t="s">
        <v>5264</v>
      </c>
      <c r="F69">
        <f t="shared" si="1"/>
        <v>0</v>
      </c>
      <c r="G69">
        <f t="shared" si="1"/>
        <v>0</v>
      </c>
    </row>
    <row r="70" spans="1:7" ht="48" x14ac:dyDescent="0.2">
      <c r="A70" s="3" t="s">
        <v>5200</v>
      </c>
      <c r="B70" s="7" t="s">
        <v>5347</v>
      </c>
      <c r="C70" t="s">
        <v>30</v>
      </c>
      <c r="F70">
        <f t="shared" si="1"/>
        <v>0</v>
      </c>
      <c r="G70">
        <f t="shared" si="1"/>
        <v>0</v>
      </c>
    </row>
    <row r="71" spans="1:7" ht="48" x14ac:dyDescent="0.2">
      <c r="A71" s="3" t="s">
        <v>5201</v>
      </c>
      <c r="B71" s="7" t="s">
        <v>5348</v>
      </c>
      <c r="C71" t="s">
        <v>5265</v>
      </c>
      <c r="F71">
        <f t="shared" si="1"/>
        <v>0</v>
      </c>
      <c r="G71">
        <f t="shared" si="1"/>
        <v>0</v>
      </c>
    </row>
    <row r="72" spans="1:7" ht="48" x14ac:dyDescent="0.2">
      <c r="A72" s="3" t="s">
        <v>5202</v>
      </c>
      <c r="B72" s="7" t="s">
        <v>5349</v>
      </c>
      <c r="C72" t="s">
        <v>5266</v>
      </c>
      <c r="F72">
        <f t="shared" si="1"/>
        <v>0</v>
      </c>
      <c r="G72">
        <f t="shared" si="1"/>
        <v>0</v>
      </c>
    </row>
    <row r="73" spans="1:7" ht="64" x14ac:dyDescent="0.2">
      <c r="A73" s="3" t="s">
        <v>5203</v>
      </c>
      <c r="B73" s="7" t="s">
        <v>5350</v>
      </c>
      <c r="C73" t="s">
        <v>5267</v>
      </c>
      <c r="F73">
        <f t="shared" si="1"/>
        <v>0</v>
      </c>
      <c r="G73">
        <f t="shared" si="1"/>
        <v>0</v>
      </c>
    </row>
    <row r="74" spans="1:7" ht="48" x14ac:dyDescent="0.2">
      <c r="A74" s="3" t="s">
        <v>5204</v>
      </c>
      <c r="B74" s="7" t="s">
        <v>5351</v>
      </c>
      <c r="C74" t="s">
        <v>5268</v>
      </c>
      <c r="F74">
        <f t="shared" si="1"/>
        <v>0</v>
      </c>
      <c r="G74">
        <f t="shared" si="1"/>
        <v>0</v>
      </c>
    </row>
    <row r="75" spans="1:7" ht="48" x14ac:dyDescent="0.2">
      <c r="A75" s="3" t="s">
        <v>5205</v>
      </c>
      <c r="B75" s="7" t="s">
        <v>5352</v>
      </c>
      <c r="C75" t="s">
        <v>4691</v>
      </c>
      <c r="E75" t="s">
        <v>194</v>
      </c>
      <c r="F75">
        <f t="shared" si="1"/>
        <v>0</v>
      </c>
      <c r="G75">
        <f t="shared" si="1"/>
        <v>1</v>
      </c>
    </row>
    <row r="76" spans="1:7" ht="48" x14ac:dyDescent="0.2">
      <c r="A76" s="3" t="s">
        <v>5206</v>
      </c>
      <c r="B76" s="7" t="s">
        <v>5353</v>
      </c>
      <c r="C76" t="s">
        <v>108</v>
      </c>
      <c r="F76">
        <f t="shared" si="1"/>
        <v>0</v>
      </c>
      <c r="G76">
        <f t="shared" si="1"/>
        <v>0</v>
      </c>
    </row>
    <row r="77" spans="1:7" ht="80" x14ac:dyDescent="0.2">
      <c r="A77" s="3" t="s">
        <v>5207</v>
      </c>
      <c r="B77" s="7" t="s">
        <v>5354</v>
      </c>
      <c r="C77" t="s">
        <v>5269</v>
      </c>
      <c r="F77">
        <f t="shared" si="1"/>
        <v>0</v>
      </c>
      <c r="G77">
        <f t="shared" si="1"/>
        <v>0</v>
      </c>
    </row>
    <row r="78" spans="1:7" ht="48" x14ac:dyDescent="0.2">
      <c r="A78" s="3" t="s">
        <v>5208</v>
      </c>
      <c r="B78" s="7" t="s">
        <v>5355</v>
      </c>
      <c r="C78" t="s">
        <v>5270</v>
      </c>
      <c r="F78">
        <f t="shared" si="1"/>
        <v>0</v>
      </c>
      <c r="G78">
        <f t="shared" si="1"/>
        <v>0</v>
      </c>
    </row>
    <row r="79" spans="1:7" ht="48" x14ac:dyDescent="0.2">
      <c r="A79" s="3" t="s">
        <v>5209</v>
      </c>
      <c r="B79" s="7" t="s">
        <v>5356</v>
      </c>
      <c r="C79" t="s">
        <v>277</v>
      </c>
      <c r="F79">
        <f t="shared" si="1"/>
        <v>0</v>
      </c>
      <c r="G79">
        <f t="shared" si="1"/>
        <v>0</v>
      </c>
    </row>
    <row r="80" spans="1:7" ht="64" x14ac:dyDescent="0.2">
      <c r="A80" s="3" t="s">
        <v>5210</v>
      </c>
      <c r="B80" s="7" t="s">
        <v>5357</v>
      </c>
      <c r="C80" t="s">
        <v>2209</v>
      </c>
      <c r="F80">
        <f t="shared" si="1"/>
        <v>0</v>
      </c>
      <c r="G80">
        <f t="shared" si="1"/>
        <v>0</v>
      </c>
    </row>
    <row r="81" spans="1:7" ht="48" x14ac:dyDescent="0.2">
      <c r="A81" s="3" t="s">
        <v>5211</v>
      </c>
      <c r="B81" s="7" t="s">
        <v>5358</v>
      </c>
      <c r="C81" t="s">
        <v>5271</v>
      </c>
      <c r="F81">
        <f t="shared" si="1"/>
        <v>0</v>
      </c>
      <c r="G81">
        <f t="shared" si="1"/>
        <v>0</v>
      </c>
    </row>
    <row r="82" spans="1:7" ht="48" x14ac:dyDescent="0.2">
      <c r="A82" s="3" t="s">
        <v>5212</v>
      </c>
      <c r="B82" s="7" t="s">
        <v>5359</v>
      </c>
      <c r="C82" t="s">
        <v>5272</v>
      </c>
      <c r="E82" t="s">
        <v>48</v>
      </c>
      <c r="F82">
        <f t="shared" si="1"/>
        <v>0</v>
      </c>
      <c r="G82">
        <f t="shared" si="1"/>
        <v>1</v>
      </c>
    </row>
    <row r="83" spans="1:7" ht="48" x14ac:dyDescent="0.2">
      <c r="A83" s="3" t="s">
        <v>5213</v>
      </c>
      <c r="B83" s="7" t="s">
        <v>5360</v>
      </c>
      <c r="C83" t="s">
        <v>5273</v>
      </c>
      <c r="F83">
        <f t="shared" si="1"/>
        <v>0</v>
      </c>
      <c r="G83">
        <f t="shared" si="1"/>
        <v>0</v>
      </c>
    </row>
    <row r="84" spans="1:7" ht="48" x14ac:dyDescent="0.2">
      <c r="A84" s="3" t="s">
        <v>5214</v>
      </c>
      <c r="B84" s="7" t="s">
        <v>5361</v>
      </c>
      <c r="C84" t="s">
        <v>6</v>
      </c>
      <c r="F84">
        <f t="shared" si="1"/>
        <v>0</v>
      </c>
      <c r="G84">
        <f t="shared" si="1"/>
        <v>0</v>
      </c>
    </row>
    <row r="85" spans="1:7" ht="48" x14ac:dyDescent="0.2">
      <c r="A85" s="3" t="s">
        <v>5215</v>
      </c>
      <c r="B85" s="7" t="s">
        <v>5362</v>
      </c>
      <c r="C85" t="s">
        <v>5274</v>
      </c>
      <c r="F85">
        <f t="shared" si="1"/>
        <v>0</v>
      </c>
      <c r="G85">
        <f t="shared" si="1"/>
        <v>0</v>
      </c>
    </row>
    <row r="86" spans="1:7" ht="64" x14ac:dyDescent="0.2">
      <c r="A86" s="3" t="s">
        <v>5216</v>
      </c>
      <c r="B86" s="7" t="s">
        <v>5363</v>
      </c>
      <c r="C86" t="s">
        <v>5275</v>
      </c>
      <c r="F86">
        <f t="shared" si="1"/>
        <v>0</v>
      </c>
      <c r="G86">
        <f t="shared" si="1"/>
        <v>0</v>
      </c>
    </row>
    <row r="87" spans="1:7" ht="48" x14ac:dyDescent="0.2">
      <c r="A87" s="3" t="s">
        <v>5217</v>
      </c>
      <c r="B87" s="7" t="s">
        <v>5364</v>
      </c>
      <c r="C87" t="s">
        <v>1130</v>
      </c>
      <c r="F87">
        <f t="shared" si="1"/>
        <v>0</v>
      </c>
      <c r="G87">
        <f t="shared" si="1"/>
        <v>0</v>
      </c>
    </row>
    <row r="88" spans="1:7" ht="64" x14ac:dyDescent="0.2">
      <c r="A88" s="3" t="s">
        <v>5218</v>
      </c>
      <c r="B88" s="7" t="s">
        <v>5365</v>
      </c>
      <c r="C88" t="s">
        <v>5276</v>
      </c>
      <c r="F88">
        <f t="shared" si="1"/>
        <v>0</v>
      </c>
      <c r="G88">
        <f t="shared" si="1"/>
        <v>0</v>
      </c>
    </row>
    <row r="89" spans="1:7" ht="48" x14ac:dyDescent="0.2">
      <c r="A89" s="3" t="s">
        <v>5219</v>
      </c>
      <c r="B89" s="7" t="s">
        <v>5366</v>
      </c>
      <c r="C89" t="s">
        <v>5277</v>
      </c>
      <c r="F89">
        <f t="shared" si="1"/>
        <v>0</v>
      </c>
      <c r="G89">
        <f t="shared" si="1"/>
        <v>0</v>
      </c>
    </row>
    <row r="90" spans="1:7" ht="48" x14ac:dyDescent="0.2">
      <c r="A90" s="3" t="s">
        <v>5220</v>
      </c>
      <c r="B90" s="7" t="s">
        <v>5367</v>
      </c>
      <c r="C90" t="s">
        <v>219</v>
      </c>
      <c r="D90" s="9" t="s">
        <v>5380</v>
      </c>
      <c r="F90">
        <f t="shared" si="1"/>
        <v>1</v>
      </c>
      <c r="G90">
        <f t="shared" si="1"/>
        <v>0</v>
      </c>
    </row>
    <row r="91" spans="1:7" ht="64" x14ac:dyDescent="0.2">
      <c r="A91" s="3" t="s">
        <v>5221</v>
      </c>
      <c r="B91" s="7" t="s">
        <v>5368</v>
      </c>
      <c r="C91" t="s">
        <v>270</v>
      </c>
      <c r="F91">
        <f t="shared" si="1"/>
        <v>0</v>
      </c>
      <c r="G91">
        <f t="shared" si="1"/>
        <v>0</v>
      </c>
    </row>
    <row r="92" spans="1:7" ht="48" x14ac:dyDescent="0.2">
      <c r="A92" s="3" t="s">
        <v>5222</v>
      </c>
      <c r="B92" s="7" t="s">
        <v>5369</v>
      </c>
      <c r="C92" t="s">
        <v>138</v>
      </c>
      <c r="F92">
        <f t="shared" si="1"/>
        <v>0</v>
      </c>
      <c r="G92">
        <f t="shared" si="1"/>
        <v>0</v>
      </c>
    </row>
    <row r="93" spans="1:7" ht="32" x14ac:dyDescent="0.2">
      <c r="A93" s="3" t="s">
        <v>5223</v>
      </c>
      <c r="B93" s="7" t="s">
        <v>5370</v>
      </c>
      <c r="C93" t="s">
        <v>18</v>
      </c>
      <c r="F93">
        <f t="shared" si="1"/>
        <v>0</v>
      </c>
      <c r="G93">
        <f t="shared" si="1"/>
        <v>0</v>
      </c>
    </row>
    <row r="94" spans="1:7" ht="48" x14ac:dyDescent="0.2">
      <c r="A94" s="3" t="s">
        <v>5224</v>
      </c>
      <c r="B94" s="7" t="s">
        <v>5371</v>
      </c>
      <c r="C94" t="s">
        <v>2678</v>
      </c>
      <c r="F94">
        <f t="shared" si="1"/>
        <v>0</v>
      </c>
      <c r="G94">
        <f t="shared" si="1"/>
        <v>0</v>
      </c>
    </row>
    <row r="95" spans="1:7" ht="64" x14ac:dyDescent="0.2">
      <c r="A95" s="3" t="s">
        <v>5225</v>
      </c>
      <c r="B95" s="7" t="s">
        <v>5372</v>
      </c>
      <c r="C95" t="s">
        <v>5278</v>
      </c>
      <c r="F95">
        <f t="shared" si="1"/>
        <v>0</v>
      </c>
      <c r="G95">
        <f t="shared" si="1"/>
        <v>0</v>
      </c>
    </row>
    <row r="96" spans="1:7" ht="64" x14ac:dyDescent="0.2">
      <c r="A96" s="3" t="s">
        <v>5226</v>
      </c>
      <c r="B96" s="7" t="s">
        <v>5373</v>
      </c>
      <c r="C96" t="s">
        <v>84</v>
      </c>
      <c r="F96">
        <f t="shared" si="1"/>
        <v>0</v>
      </c>
      <c r="G96">
        <f t="shared" si="1"/>
        <v>0</v>
      </c>
    </row>
    <row r="97" spans="1:7" ht="48" x14ac:dyDescent="0.2">
      <c r="A97" s="3" t="s">
        <v>5227</v>
      </c>
      <c r="B97" s="7" t="s">
        <v>5374</v>
      </c>
      <c r="C97" t="s">
        <v>5</v>
      </c>
      <c r="F97">
        <f t="shared" si="1"/>
        <v>0</v>
      </c>
      <c r="G97">
        <f t="shared" si="1"/>
        <v>0</v>
      </c>
    </row>
    <row r="98" spans="1:7" ht="48" x14ac:dyDescent="0.2">
      <c r="A98" s="3" t="s">
        <v>5228</v>
      </c>
      <c r="B98" s="7" t="s">
        <v>5375</v>
      </c>
      <c r="C98" t="s">
        <v>61</v>
      </c>
      <c r="D98" s="9" t="s">
        <v>48</v>
      </c>
      <c r="F98">
        <f t="shared" si="1"/>
        <v>1</v>
      </c>
      <c r="G98">
        <f t="shared" si="1"/>
        <v>0</v>
      </c>
    </row>
    <row r="99" spans="1:7" ht="48" x14ac:dyDescent="0.2">
      <c r="A99" s="3" t="s">
        <v>5229</v>
      </c>
      <c r="B99" s="7" t="s">
        <v>5376</v>
      </c>
      <c r="C99" t="s">
        <v>31</v>
      </c>
      <c r="F99">
        <f t="shared" si="1"/>
        <v>0</v>
      </c>
      <c r="G99">
        <f t="shared" si="1"/>
        <v>0</v>
      </c>
    </row>
    <row r="100" spans="1:7" ht="48" x14ac:dyDescent="0.2">
      <c r="A100" s="3" t="s">
        <v>5230</v>
      </c>
      <c r="B100" s="7" t="s">
        <v>5377</v>
      </c>
      <c r="C100" t="s">
        <v>140</v>
      </c>
      <c r="F100">
        <f t="shared" si="1"/>
        <v>0</v>
      </c>
      <c r="G100">
        <f t="shared" si="1"/>
        <v>0</v>
      </c>
    </row>
    <row r="101" spans="1:7" ht="48" x14ac:dyDescent="0.2">
      <c r="A101" s="3" t="s">
        <v>5231</v>
      </c>
      <c r="B101" s="7" t="s">
        <v>5378</v>
      </c>
      <c r="C101" t="s">
        <v>286</v>
      </c>
      <c r="F101">
        <f t="shared" si="1"/>
        <v>0</v>
      </c>
      <c r="G101">
        <f t="shared" si="1"/>
        <v>0</v>
      </c>
    </row>
    <row r="103" spans="1:7" x14ac:dyDescent="0.2">
      <c r="F103" s="10">
        <f>SUM(F2:F101)</f>
        <v>5</v>
      </c>
      <c r="G103" s="10">
        <f>SUM(G2:G101)</f>
        <v>8</v>
      </c>
    </row>
    <row r="107" spans="1:7" ht="48"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E0B1-8554-714F-91D9-EE74DE87FB83}">
  <dimension ref="A1:G103"/>
  <sheetViews>
    <sheetView topLeftCell="A91" zoomScale="160" zoomScaleNormal="160" workbookViewId="0">
      <selection activeCell="A91" sqref="A1:XFD1048576"/>
    </sheetView>
  </sheetViews>
  <sheetFormatPr baseColWidth="10" defaultRowHeight="15" x14ac:dyDescent="0.2"/>
  <cols>
    <col min="1" max="1" width="36.5" style="3" customWidth="1"/>
    <col min="2" max="2" width="56.1640625" style="7" customWidth="1"/>
    <col min="3" max="3" width="21.6640625" customWidth="1"/>
    <col min="4" max="4" width="15.1640625" style="9" customWidth="1"/>
    <col min="5" max="5" width="13.33203125" customWidth="1"/>
  </cols>
  <sheetData>
    <row r="1" spans="1:7" ht="16" x14ac:dyDescent="0.2">
      <c r="A1" s="2" t="s">
        <v>0</v>
      </c>
      <c r="B1" s="6" t="s">
        <v>101</v>
      </c>
      <c r="C1" s="1" t="s">
        <v>1</v>
      </c>
      <c r="D1" s="8" t="s">
        <v>44</v>
      </c>
      <c r="E1" s="1" t="s">
        <v>45</v>
      </c>
      <c r="F1" s="1" t="s">
        <v>44</v>
      </c>
      <c r="G1" s="1" t="s">
        <v>45</v>
      </c>
    </row>
    <row r="2" spans="1:7" ht="64" x14ac:dyDescent="0.2">
      <c r="A2" s="3" t="s">
        <v>2574</v>
      </c>
      <c r="B2" s="7" t="s">
        <v>2710</v>
      </c>
      <c r="C2" t="s">
        <v>66</v>
      </c>
      <c r="F2">
        <f>IF(D2="",0,1)</f>
        <v>0</v>
      </c>
      <c r="G2">
        <f>IF(E2="",0,1)</f>
        <v>0</v>
      </c>
    </row>
    <row r="3" spans="1:7" ht="64" x14ac:dyDescent="0.2">
      <c r="A3" s="3" t="s">
        <v>2575</v>
      </c>
      <c r="B3" s="7" t="s">
        <v>2711</v>
      </c>
      <c r="C3" t="s">
        <v>16</v>
      </c>
      <c r="F3">
        <f t="shared" ref="F3:F66" si="0">IF(D3="",0,1)</f>
        <v>0</v>
      </c>
      <c r="G3">
        <f t="shared" ref="G3:G66" si="1">IF(E3="",0,1)</f>
        <v>0</v>
      </c>
    </row>
    <row r="4" spans="1:7" ht="64" x14ac:dyDescent="0.2">
      <c r="A4" s="3" t="s">
        <v>2576</v>
      </c>
      <c r="B4" s="7" t="s">
        <v>2712</v>
      </c>
      <c r="C4" t="s">
        <v>2081</v>
      </c>
      <c r="F4">
        <f t="shared" si="0"/>
        <v>0</v>
      </c>
      <c r="G4">
        <f t="shared" si="1"/>
        <v>0</v>
      </c>
    </row>
    <row r="5" spans="1:7" ht="64" x14ac:dyDescent="0.2">
      <c r="A5" s="3" t="s">
        <v>2577</v>
      </c>
      <c r="B5" s="7" t="s">
        <v>2713</v>
      </c>
      <c r="C5" t="s">
        <v>27</v>
      </c>
      <c r="F5">
        <f t="shared" si="0"/>
        <v>0</v>
      </c>
      <c r="G5">
        <f t="shared" si="1"/>
        <v>0</v>
      </c>
    </row>
    <row r="6" spans="1:7" ht="48" x14ac:dyDescent="0.2">
      <c r="A6" s="3" t="s">
        <v>2578</v>
      </c>
      <c r="B6" s="7" t="s">
        <v>2714</v>
      </c>
      <c r="C6" t="s">
        <v>2673</v>
      </c>
      <c r="F6">
        <f t="shared" si="0"/>
        <v>0</v>
      </c>
      <c r="G6">
        <f t="shared" si="1"/>
        <v>0</v>
      </c>
    </row>
    <row r="7" spans="1:7" ht="48" x14ac:dyDescent="0.2">
      <c r="A7" s="3" t="s">
        <v>2579</v>
      </c>
      <c r="B7" s="7" t="s">
        <v>2715</v>
      </c>
      <c r="C7" t="s">
        <v>2674</v>
      </c>
      <c r="F7">
        <f t="shared" si="0"/>
        <v>0</v>
      </c>
      <c r="G7">
        <f t="shared" si="1"/>
        <v>0</v>
      </c>
    </row>
    <row r="8" spans="1:7" ht="64" x14ac:dyDescent="0.2">
      <c r="A8" s="3" t="s">
        <v>2580</v>
      </c>
      <c r="B8" s="7" t="s">
        <v>2716</v>
      </c>
      <c r="C8" t="s">
        <v>102</v>
      </c>
      <c r="F8">
        <f t="shared" si="0"/>
        <v>0</v>
      </c>
      <c r="G8">
        <f t="shared" si="1"/>
        <v>0</v>
      </c>
    </row>
    <row r="9" spans="1:7" ht="80" x14ac:dyDescent="0.2">
      <c r="A9" s="3" t="s">
        <v>2581</v>
      </c>
      <c r="B9" s="7" t="s">
        <v>2717</v>
      </c>
      <c r="C9" t="s">
        <v>2675</v>
      </c>
      <c r="F9">
        <f t="shared" si="0"/>
        <v>0</v>
      </c>
      <c r="G9">
        <f t="shared" si="1"/>
        <v>0</v>
      </c>
    </row>
    <row r="10" spans="1:7" ht="64" x14ac:dyDescent="0.2">
      <c r="A10" s="3" t="s">
        <v>2582</v>
      </c>
      <c r="B10" s="7" t="s">
        <v>2718</v>
      </c>
      <c r="C10" t="s">
        <v>60</v>
      </c>
      <c r="F10">
        <f t="shared" si="0"/>
        <v>0</v>
      </c>
      <c r="G10">
        <f t="shared" si="1"/>
        <v>0</v>
      </c>
    </row>
    <row r="11" spans="1:7" ht="80" x14ac:dyDescent="0.2">
      <c r="A11" s="3" t="s">
        <v>2583</v>
      </c>
      <c r="B11" s="7" t="s">
        <v>2719</v>
      </c>
      <c r="C11" t="s">
        <v>270</v>
      </c>
      <c r="F11">
        <f t="shared" si="0"/>
        <v>0</v>
      </c>
      <c r="G11">
        <f t="shared" si="1"/>
        <v>0</v>
      </c>
    </row>
    <row r="12" spans="1:7" ht="80" x14ac:dyDescent="0.2">
      <c r="A12" s="3" t="s">
        <v>2584</v>
      </c>
      <c r="B12" s="7" t="s">
        <v>2720</v>
      </c>
      <c r="C12" t="s">
        <v>5</v>
      </c>
      <c r="F12">
        <f t="shared" si="0"/>
        <v>0</v>
      </c>
      <c r="G12">
        <f t="shared" si="1"/>
        <v>0</v>
      </c>
    </row>
    <row r="13" spans="1:7" ht="64" x14ac:dyDescent="0.2">
      <c r="A13" s="3" t="s">
        <v>2585</v>
      </c>
      <c r="B13" s="7" t="s">
        <v>2721</v>
      </c>
      <c r="C13" t="s">
        <v>18</v>
      </c>
      <c r="F13">
        <f t="shared" si="0"/>
        <v>0</v>
      </c>
      <c r="G13">
        <f t="shared" si="1"/>
        <v>0</v>
      </c>
    </row>
    <row r="14" spans="1:7" ht="32" x14ac:dyDescent="0.2">
      <c r="A14" s="3" t="s">
        <v>2586</v>
      </c>
      <c r="B14" s="7" t="s">
        <v>2722</v>
      </c>
      <c r="C14" t="s">
        <v>2676</v>
      </c>
      <c r="F14">
        <f t="shared" si="0"/>
        <v>0</v>
      </c>
      <c r="G14">
        <f t="shared" si="1"/>
        <v>0</v>
      </c>
    </row>
    <row r="15" spans="1:7" ht="64" x14ac:dyDescent="0.2">
      <c r="A15" s="3" t="s">
        <v>2587</v>
      </c>
      <c r="B15" s="7" t="s">
        <v>2723</v>
      </c>
      <c r="C15" t="s">
        <v>2677</v>
      </c>
      <c r="F15">
        <f t="shared" si="0"/>
        <v>0</v>
      </c>
      <c r="G15">
        <f t="shared" si="1"/>
        <v>0</v>
      </c>
    </row>
    <row r="16" spans="1:7" ht="64" x14ac:dyDescent="0.2">
      <c r="A16" s="3" t="s">
        <v>2588</v>
      </c>
      <c r="B16" s="7" t="s">
        <v>2724</v>
      </c>
      <c r="C16" t="s">
        <v>2678</v>
      </c>
      <c r="D16" s="9" t="s">
        <v>1497</v>
      </c>
      <c r="F16">
        <f t="shared" si="0"/>
        <v>1</v>
      </c>
      <c r="G16">
        <f t="shared" si="1"/>
        <v>0</v>
      </c>
    </row>
    <row r="17" spans="1:7" ht="48" x14ac:dyDescent="0.2">
      <c r="A17" s="3" t="s">
        <v>2589</v>
      </c>
      <c r="B17" s="7" t="s">
        <v>2725</v>
      </c>
      <c r="C17" t="s">
        <v>2097</v>
      </c>
      <c r="F17">
        <f t="shared" si="0"/>
        <v>0</v>
      </c>
      <c r="G17">
        <f t="shared" si="1"/>
        <v>0</v>
      </c>
    </row>
    <row r="18" spans="1:7" ht="48" x14ac:dyDescent="0.2">
      <c r="A18" s="3" t="s">
        <v>2590</v>
      </c>
      <c r="B18" s="7" t="s">
        <v>2726</v>
      </c>
      <c r="C18" t="s">
        <v>2679</v>
      </c>
      <c r="F18">
        <f t="shared" si="0"/>
        <v>0</v>
      </c>
      <c r="G18">
        <f t="shared" si="1"/>
        <v>0</v>
      </c>
    </row>
    <row r="19" spans="1:7" ht="64" x14ac:dyDescent="0.2">
      <c r="A19" s="3" t="s">
        <v>2591</v>
      </c>
      <c r="B19" s="7" t="s">
        <v>2727</v>
      </c>
      <c r="C19" t="s">
        <v>292</v>
      </c>
      <c r="F19">
        <f t="shared" si="0"/>
        <v>0</v>
      </c>
      <c r="G19">
        <f t="shared" si="1"/>
        <v>0</v>
      </c>
    </row>
    <row r="20" spans="1:7" ht="48" x14ac:dyDescent="0.2">
      <c r="A20" s="3" t="s">
        <v>2592</v>
      </c>
      <c r="B20" s="7" t="s">
        <v>2728</v>
      </c>
      <c r="C20" t="s">
        <v>297</v>
      </c>
      <c r="F20">
        <f t="shared" si="0"/>
        <v>0</v>
      </c>
      <c r="G20">
        <f t="shared" si="1"/>
        <v>0</v>
      </c>
    </row>
    <row r="21" spans="1:7" ht="80" x14ac:dyDescent="0.2">
      <c r="A21" s="3" t="s">
        <v>2593</v>
      </c>
      <c r="B21" s="7" t="s">
        <v>2729</v>
      </c>
      <c r="C21" t="s">
        <v>163</v>
      </c>
      <c r="F21">
        <f t="shared" si="0"/>
        <v>0</v>
      </c>
      <c r="G21">
        <f t="shared" si="1"/>
        <v>0</v>
      </c>
    </row>
    <row r="22" spans="1:7" ht="48" x14ac:dyDescent="0.2">
      <c r="A22" s="3" t="s">
        <v>2594</v>
      </c>
      <c r="B22" s="7" t="s">
        <v>2730</v>
      </c>
      <c r="C22" t="s">
        <v>2680</v>
      </c>
      <c r="F22">
        <f t="shared" si="0"/>
        <v>0</v>
      </c>
      <c r="G22">
        <f t="shared" si="1"/>
        <v>0</v>
      </c>
    </row>
    <row r="23" spans="1:7" ht="48" x14ac:dyDescent="0.2">
      <c r="A23" s="3" t="s">
        <v>2595</v>
      </c>
      <c r="B23" s="7" t="s">
        <v>2731</v>
      </c>
      <c r="C23" t="s">
        <v>187</v>
      </c>
      <c r="F23">
        <f t="shared" si="0"/>
        <v>0</v>
      </c>
      <c r="G23">
        <f t="shared" si="1"/>
        <v>0</v>
      </c>
    </row>
    <row r="24" spans="1:7" ht="48" x14ac:dyDescent="0.2">
      <c r="A24" s="3" t="s">
        <v>2596</v>
      </c>
      <c r="B24" s="7" t="s">
        <v>2732</v>
      </c>
      <c r="C24" t="s">
        <v>2681</v>
      </c>
      <c r="F24">
        <f t="shared" si="0"/>
        <v>0</v>
      </c>
      <c r="G24">
        <f t="shared" si="1"/>
        <v>0</v>
      </c>
    </row>
    <row r="25" spans="1:7" ht="64" x14ac:dyDescent="0.2">
      <c r="A25" s="3" t="s">
        <v>2597</v>
      </c>
      <c r="B25" s="7" t="s">
        <v>2733</v>
      </c>
      <c r="C25" t="s">
        <v>19</v>
      </c>
      <c r="F25">
        <f t="shared" si="0"/>
        <v>0</v>
      </c>
      <c r="G25">
        <f t="shared" si="1"/>
        <v>0</v>
      </c>
    </row>
    <row r="26" spans="1:7" ht="64" x14ac:dyDescent="0.2">
      <c r="A26" s="3" t="s">
        <v>2598</v>
      </c>
      <c r="B26" s="7" t="s">
        <v>2734</v>
      </c>
      <c r="C26" t="s">
        <v>37</v>
      </c>
      <c r="F26">
        <f t="shared" si="0"/>
        <v>0</v>
      </c>
      <c r="G26">
        <f t="shared" si="1"/>
        <v>0</v>
      </c>
    </row>
    <row r="27" spans="1:7" ht="64" x14ac:dyDescent="0.2">
      <c r="A27" s="3" t="s">
        <v>2599</v>
      </c>
      <c r="B27" s="7" t="s">
        <v>2735</v>
      </c>
      <c r="C27" t="s">
        <v>2</v>
      </c>
      <c r="E27" t="s">
        <v>48</v>
      </c>
      <c r="F27">
        <f t="shared" si="0"/>
        <v>0</v>
      </c>
      <c r="G27">
        <f t="shared" si="1"/>
        <v>1</v>
      </c>
    </row>
    <row r="28" spans="1:7" ht="64" x14ac:dyDescent="0.2">
      <c r="A28" s="3" t="s">
        <v>2600</v>
      </c>
      <c r="B28" s="7" t="s">
        <v>2736</v>
      </c>
      <c r="C28" t="s">
        <v>2682</v>
      </c>
      <c r="F28">
        <f t="shared" si="0"/>
        <v>0</v>
      </c>
      <c r="G28">
        <f t="shared" si="1"/>
        <v>0</v>
      </c>
    </row>
    <row r="29" spans="1:7" ht="64" x14ac:dyDescent="0.2">
      <c r="A29" s="3" t="s">
        <v>2601</v>
      </c>
      <c r="B29" s="7" t="s">
        <v>2737</v>
      </c>
      <c r="C29" t="s">
        <v>2683</v>
      </c>
      <c r="F29">
        <f t="shared" si="0"/>
        <v>0</v>
      </c>
      <c r="G29">
        <f t="shared" si="1"/>
        <v>0</v>
      </c>
    </row>
    <row r="30" spans="1:7" ht="64" x14ac:dyDescent="0.2">
      <c r="A30" s="3" t="s">
        <v>2602</v>
      </c>
      <c r="B30" s="7" t="s">
        <v>2738</v>
      </c>
      <c r="C30" t="s">
        <v>135</v>
      </c>
      <c r="F30">
        <f t="shared" si="0"/>
        <v>0</v>
      </c>
      <c r="G30">
        <f t="shared" si="1"/>
        <v>0</v>
      </c>
    </row>
    <row r="31" spans="1:7" ht="64" x14ac:dyDescent="0.2">
      <c r="A31" s="3" t="s">
        <v>2603</v>
      </c>
      <c r="B31" s="7" t="s">
        <v>2739</v>
      </c>
      <c r="C31" t="s">
        <v>270</v>
      </c>
      <c r="F31">
        <f t="shared" si="0"/>
        <v>0</v>
      </c>
      <c r="G31">
        <f t="shared" si="1"/>
        <v>0</v>
      </c>
    </row>
    <row r="32" spans="1:7" ht="64" x14ac:dyDescent="0.2">
      <c r="A32" s="3" t="s">
        <v>2604</v>
      </c>
      <c r="B32" s="7" t="s">
        <v>2740</v>
      </c>
      <c r="C32" t="s">
        <v>2684</v>
      </c>
      <c r="F32">
        <f t="shared" si="0"/>
        <v>0</v>
      </c>
      <c r="G32">
        <f t="shared" si="1"/>
        <v>0</v>
      </c>
    </row>
    <row r="33" spans="1:7" ht="48" x14ac:dyDescent="0.2">
      <c r="A33" s="3" t="s">
        <v>2605</v>
      </c>
      <c r="B33" s="7" t="s">
        <v>2741</v>
      </c>
      <c r="C33" t="s">
        <v>42</v>
      </c>
      <c r="F33">
        <f t="shared" si="0"/>
        <v>0</v>
      </c>
      <c r="G33">
        <f t="shared" si="1"/>
        <v>0</v>
      </c>
    </row>
    <row r="34" spans="1:7" ht="64" x14ac:dyDescent="0.2">
      <c r="A34" s="3" t="s">
        <v>2606</v>
      </c>
      <c r="B34" s="7" t="s">
        <v>2742</v>
      </c>
      <c r="C34" t="s">
        <v>2685</v>
      </c>
      <c r="F34">
        <f t="shared" si="0"/>
        <v>0</v>
      </c>
      <c r="G34">
        <f t="shared" si="1"/>
        <v>0</v>
      </c>
    </row>
    <row r="35" spans="1:7" ht="64" x14ac:dyDescent="0.2">
      <c r="A35" s="3" t="s">
        <v>2607</v>
      </c>
      <c r="B35" s="7" t="s">
        <v>2743</v>
      </c>
      <c r="C35" t="s">
        <v>182</v>
      </c>
      <c r="E35" t="s">
        <v>2811</v>
      </c>
      <c r="F35">
        <f t="shared" si="0"/>
        <v>0</v>
      </c>
      <c r="G35">
        <f t="shared" si="1"/>
        <v>1</v>
      </c>
    </row>
    <row r="36" spans="1:7" ht="64" x14ac:dyDescent="0.2">
      <c r="A36" s="3" t="s">
        <v>2608</v>
      </c>
      <c r="B36" s="7" t="s">
        <v>2744</v>
      </c>
      <c r="C36" t="s">
        <v>181</v>
      </c>
      <c r="F36">
        <f t="shared" si="0"/>
        <v>0</v>
      </c>
      <c r="G36">
        <f t="shared" si="1"/>
        <v>0</v>
      </c>
    </row>
    <row r="37" spans="1:7" ht="64" x14ac:dyDescent="0.2">
      <c r="A37" s="3" t="s">
        <v>2609</v>
      </c>
      <c r="B37" s="7" t="s">
        <v>2745</v>
      </c>
      <c r="C37" t="s">
        <v>6</v>
      </c>
      <c r="F37">
        <f t="shared" si="0"/>
        <v>0</v>
      </c>
      <c r="G37">
        <f t="shared" si="1"/>
        <v>0</v>
      </c>
    </row>
    <row r="38" spans="1:7" ht="64" x14ac:dyDescent="0.2">
      <c r="A38" s="3" t="s">
        <v>2610</v>
      </c>
      <c r="B38" s="7" t="s">
        <v>2746</v>
      </c>
      <c r="C38" t="s">
        <v>162</v>
      </c>
      <c r="F38">
        <f t="shared" si="0"/>
        <v>0</v>
      </c>
      <c r="G38">
        <f t="shared" si="1"/>
        <v>0</v>
      </c>
    </row>
    <row r="39" spans="1:7" ht="48" x14ac:dyDescent="0.2">
      <c r="A39" s="3" t="s">
        <v>2611</v>
      </c>
      <c r="B39" s="7" t="s">
        <v>2747</v>
      </c>
      <c r="C39" t="s">
        <v>6</v>
      </c>
      <c r="F39">
        <f t="shared" si="0"/>
        <v>0</v>
      </c>
      <c r="G39">
        <f t="shared" si="1"/>
        <v>0</v>
      </c>
    </row>
    <row r="40" spans="1:7" ht="80" x14ac:dyDescent="0.2">
      <c r="A40" s="3" t="s">
        <v>2612</v>
      </c>
      <c r="B40" s="7" t="s">
        <v>2748</v>
      </c>
      <c r="C40" t="s">
        <v>135</v>
      </c>
      <c r="F40">
        <f t="shared" si="0"/>
        <v>0</v>
      </c>
      <c r="G40">
        <f t="shared" si="1"/>
        <v>0</v>
      </c>
    </row>
    <row r="41" spans="1:7" ht="80" x14ac:dyDescent="0.2">
      <c r="A41" s="3" t="s">
        <v>2613</v>
      </c>
      <c r="B41" s="7" t="s">
        <v>2749</v>
      </c>
      <c r="C41" t="s">
        <v>8</v>
      </c>
      <c r="F41">
        <f t="shared" si="0"/>
        <v>0</v>
      </c>
      <c r="G41">
        <f t="shared" si="1"/>
        <v>0</v>
      </c>
    </row>
    <row r="42" spans="1:7" ht="48" x14ac:dyDescent="0.2">
      <c r="A42" s="3" t="s">
        <v>2614</v>
      </c>
      <c r="B42" s="7" t="s">
        <v>2750</v>
      </c>
      <c r="C42" t="s">
        <v>2686</v>
      </c>
      <c r="F42">
        <f t="shared" si="0"/>
        <v>0</v>
      </c>
      <c r="G42">
        <f t="shared" si="1"/>
        <v>0</v>
      </c>
    </row>
    <row r="43" spans="1:7" ht="80" x14ac:dyDescent="0.2">
      <c r="A43" s="3" t="s">
        <v>2615</v>
      </c>
      <c r="B43" s="7" t="s">
        <v>2751</v>
      </c>
      <c r="C43" t="s">
        <v>2687</v>
      </c>
      <c r="F43">
        <f t="shared" si="0"/>
        <v>0</v>
      </c>
      <c r="G43">
        <f t="shared" si="1"/>
        <v>0</v>
      </c>
    </row>
    <row r="44" spans="1:7" ht="48" x14ac:dyDescent="0.2">
      <c r="A44" s="3" t="s">
        <v>2616</v>
      </c>
      <c r="B44" s="7" t="s">
        <v>2752</v>
      </c>
      <c r="C44" t="s">
        <v>2688</v>
      </c>
      <c r="F44">
        <f t="shared" si="0"/>
        <v>0</v>
      </c>
      <c r="G44">
        <f t="shared" si="1"/>
        <v>0</v>
      </c>
    </row>
    <row r="45" spans="1:7" ht="64" x14ac:dyDescent="0.2">
      <c r="A45" s="3" t="s">
        <v>2617</v>
      </c>
      <c r="B45" s="7" t="s">
        <v>2753</v>
      </c>
      <c r="C45" t="s">
        <v>12</v>
      </c>
      <c r="F45">
        <f t="shared" si="0"/>
        <v>0</v>
      </c>
      <c r="G45">
        <f t="shared" si="1"/>
        <v>0</v>
      </c>
    </row>
    <row r="46" spans="1:7" ht="48" x14ac:dyDescent="0.2">
      <c r="A46" s="3" t="s">
        <v>2618</v>
      </c>
      <c r="B46" s="7" t="s">
        <v>2754</v>
      </c>
      <c r="C46" t="s">
        <v>20</v>
      </c>
      <c r="F46">
        <f t="shared" si="0"/>
        <v>0</v>
      </c>
      <c r="G46">
        <f t="shared" si="1"/>
        <v>0</v>
      </c>
    </row>
    <row r="47" spans="1:7" ht="64" x14ac:dyDescent="0.2">
      <c r="A47" s="3" t="s">
        <v>2619</v>
      </c>
      <c r="B47" s="7" t="s">
        <v>2755</v>
      </c>
      <c r="C47" t="s">
        <v>103</v>
      </c>
      <c r="F47">
        <f t="shared" si="0"/>
        <v>0</v>
      </c>
      <c r="G47">
        <f t="shared" si="1"/>
        <v>0</v>
      </c>
    </row>
    <row r="48" spans="1:7" ht="64" x14ac:dyDescent="0.2">
      <c r="A48" s="3" t="s">
        <v>2620</v>
      </c>
      <c r="B48" s="7" t="s">
        <v>2756</v>
      </c>
      <c r="C48" t="s">
        <v>23</v>
      </c>
      <c r="F48">
        <f t="shared" si="0"/>
        <v>0</v>
      </c>
      <c r="G48">
        <f t="shared" si="1"/>
        <v>0</v>
      </c>
    </row>
    <row r="49" spans="1:7" ht="48" x14ac:dyDescent="0.2">
      <c r="A49" s="3" t="s">
        <v>2621</v>
      </c>
      <c r="B49" s="7" t="s">
        <v>2757</v>
      </c>
      <c r="C49" t="s">
        <v>2689</v>
      </c>
      <c r="F49">
        <f t="shared" si="0"/>
        <v>0</v>
      </c>
      <c r="G49">
        <f t="shared" si="1"/>
        <v>0</v>
      </c>
    </row>
    <row r="50" spans="1:7" ht="64" x14ac:dyDescent="0.2">
      <c r="A50" s="3" t="s">
        <v>2622</v>
      </c>
      <c r="B50" s="7" t="s">
        <v>2758</v>
      </c>
      <c r="C50" t="s">
        <v>2690</v>
      </c>
      <c r="F50">
        <f t="shared" si="0"/>
        <v>0</v>
      </c>
      <c r="G50">
        <f t="shared" si="1"/>
        <v>0</v>
      </c>
    </row>
    <row r="51" spans="1:7" ht="64" x14ac:dyDescent="0.2">
      <c r="A51" s="3" t="s">
        <v>2623</v>
      </c>
      <c r="B51" s="7" t="s">
        <v>2759</v>
      </c>
      <c r="C51" t="s">
        <v>77</v>
      </c>
      <c r="E51" t="s">
        <v>215</v>
      </c>
      <c r="F51">
        <f t="shared" si="0"/>
        <v>0</v>
      </c>
      <c r="G51">
        <f t="shared" si="1"/>
        <v>1</v>
      </c>
    </row>
    <row r="52" spans="1:7" ht="48" x14ac:dyDescent="0.2">
      <c r="A52" s="3" t="s">
        <v>2624</v>
      </c>
      <c r="B52" s="7" t="s">
        <v>2760</v>
      </c>
      <c r="C52" t="s">
        <v>77</v>
      </c>
      <c r="F52">
        <f t="shared" si="0"/>
        <v>0</v>
      </c>
      <c r="G52">
        <f t="shared" si="1"/>
        <v>0</v>
      </c>
    </row>
    <row r="53" spans="1:7" ht="64" x14ac:dyDescent="0.2">
      <c r="A53" s="3" t="s">
        <v>2625</v>
      </c>
      <c r="B53" s="7" t="s">
        <v>2761</v>
      </c>
      <c r="C53" t="s">
        <v>30</v>
      </c>
      <c r="F53">
        <f t="shared" si="0"/>
        <v>0</v>
      </c>
      <c r="G53">
        <f t="shared" si="1"/>
        <v>0</v>
      </c>
    </row>
    <row r="54" spans="1:7" ht="64" x14ac:dyDescent="0.2">
      <c r="A54" s="3" t="s">
        <v>2626</v>
      </c>
      <c r="B54" s="7" t="s">
        <v>2762</v>
      </c>
      <c r="C54" t="s">
        <v>204</v>
      </c>
      <c r="F54">
        <f t="shared" si="0"/>
        <v>0</v>
      </c>
      <c r="G54">
        <f t="shared" si="1"/>
        <v>0</v>
      </c>
    </row>
    <row r="55" spans="1:7" ht="64" x14ac:dyDescent="0.2">
      <c r="A55" s="3" t="s">
        <v>2627</v>
      </c>
      <c r="B55" s="7" t="s">
        <v>2763</v>
      </c>
      <c r="C55" t="s">
        <v>2691</v>
      </c>
      <c r="F55">
        <f t="shared" si="0"/>
        <v>0</v>
      </c>
      <c r="G55">
        <f t="shared" si="1"/>
        <v>0</v>
      </c>
    </row>
    <row r="56" spans="1:7" ht="48" x14ac:dyDescent="0.2">
      <c r="A56" s="3" t="s">
        <v>2628</v>
      </c>
      <c r="B56" s="7" t="s">
        <v>2764</v>
      </c>
      <c r="C56" t="s">
        <v>4</v>
      </c>
      <c r="F56">
        <f t="shared" si="0"/>
        <v>0</v>
      </c>
      <c r="G56">
        <f t="shared" si="1"/>
        <v>0</v>
      </c>
    </row>
    <row r="57" spans="1:7" ht="80" x14ac:dyDescent="0.2">
      <c r="A57" s="3" t="s">
        <v>2629</v>
      </c>
      <c r="B57" s="7" t="s">
        <v>2765</v>
      </c>
      <c r="C57" t="s">
        <v>109</v>
      </c>
      <c r="F57">
        <f t="shared" si="0"/>
        <v>0</v>
      </c>
      <c r="G57">
        <f t="shared" si="1"/>
        <v>0</v>
      </c>
    </row>
    <row r="58" spans="1:7" ht="64" x14ac:dyDescent="0.2">
      <c r="A58" s="3" t="s">
        <v>2630</v>
      </c>
      <c r="B58" s="7" t="s">
        <v>2766</v>
      </c>
      <c r="C58" t="s">
        <v>132</v>
      </c>
      <c r="F58">
        <f t="shared" si="0"/>
        <v>0</v>
      </c>
      <c r="G58">
        <f t="shared" si="1"/>
        <v>0</v>
      </c>
    </row>
    <row r="59" spans="1:7" ht="48" x14ac:dyDescent="0.2">
      <c r="A59" s="3" t="s">
        <v>2631</v>
      </c>
      <c r="B59" s="7" t="s">
        <v>2767</v>
      </c>
      <c r="C59" t="s">
        <v>2692</v>
      </c>
      <c r="D59" s="9" t="s">
        <v>2812</v>
      </c>
      <c r="F59">
        <f t="shared" si="0"/>
        <v>1</v>
      </c>
      <c r="G59">
        <f t="shared" si="1"/>
        <v>0</v>
      </c>
    </row>
    <row r="60" spans="1:7" ht="64" x14ac:dyDescent="0.2">
      <c r="A60" s="3" t="s">
        <v>2632</v>
      </c>
      <c r="B60" s="7" t="s">
        <v>2768</v>
      </c>
      <c r="C60" t="s">
        <v>2693</v>
      </c>
      <c r="F60">
        <f t="shared" si="0"/>
        <v>0</v>
      </c>
      <c r="G60">
        <f t="shared" si="1"/>
        <v>0</v>
      </c>
    </row>
    <row r="61" spans="1:7" ht="64" x14ac:dyDescent="0.2">
      <c r="A61" s="3" t="s">
        <v>2633</v>
      </c>
      <c r="B61" s="7" t="s">
        <v>2769</v>
      </c>
      <c r="C61" t="s">
        <v>2694</v>
      </c>
      <c r="F61">
        <f t="shared" si="0"/>
        <v>0</v>
      </c>
      <c r="G61">
        <f t="shared" si="1"/>
        <v>0</v>
      </c>
    </row>
    <row r="62" spans="1:7" ht="64" x14ac:dyDescent="0.2">
      <c r="A62" s="3" t="s">
        <v>2634</v>
      </c>
      <c r="B62" s="7" t="s">
        <v>2770</v>
      </c>
      <c r="C62" t="s">
        <v>19</v>
      </c>
      <c r="F62">
        <f t="shared" si="0"/>
        <v>0</v>
      </c>
      <c r="G62">
        <f t="shared" si="1"/>
        <v>0</v>
      </c>
    </row>
    <row r="63" spans="1:7" ht="48" x14ac:dyDescent="0.2">
      <c r="A63" s="3" t="s">
        <v>2635</v>
      </c>
      <c r="B63" s="7" t="s">
        <v>2771</v>
      </c>
      <c r="C63" t="s">
        <v>2695</v>
      </c>
      <c r="F63">
        <f t="shared" si="0"/>
        <v>0</v>
      </c>
      <c r="G63">
        <f t="shared" si="1"/>
        <v>0</v>
      </c>
    </row>
    <row r="64" spans="1:7" ht="64" x14ac:dyDescent="0.2">
      <c r="A64" s="3" t="s">
        <v>2636</v>
      </c>
      <c r="B64" s="7" t="s">
        <v>2772</v>
      </c>
      <c r="C64" t="s">
        <v>11</v>
      </c>
      <c r="E64" t="s">
        <v>46</v>
      </c>
      <c r="F64">
        <f t="shared" si="0"/>
        <v>0</v>
      </c>
      <c r="G64">
        <f t="shared" si="1"/>
        <v>1</v>
      </c>
    </row>
    <row r="65" spans="1:7" ht="48" x14ac:dyDescent="0.2">
      <c r="A65" s="3" t="s">
        <v>59</v>
      </c>
      <c r="B65" s="7" t="s">
        <v>2773</v>
      </c>
      <c r="C65" t="s">
        <v>42</v>
      </c>
      <c r="F65">
        <f t="shared" si="0"/>
        <v>0</v>
      </c>
      <c r="G65">
        <f t="shared" si="1"/>
        <v>0</v>
      </c>
    </row>
    <row r="66" spans="1:7" ht="48" x14ac:dyDescent="0.2">
      <c r="A66" s="3" t="s">
        <v>2637</v>
      </c>
      <c r="B66" s="7" t="s">
        <v>2809</v>
      </c>
      <c r="C66" t="s">
        <v>2696</v>
      </c>
      <c r="F66">
        <f t="shared" si="0"/>
        <v>0</v>
      </c>
      <c r="G66">
        <f t="shared" si="1"/>
        <v>0</v>
      </c>
    </row>
    <row r="67" spans="1:7" ht="64" x14ac:dyDescent="0.2">
      <c r="A67" s="3" t="s">
        <v>2638</v>
      </c>
      <c r="B67" s="7" t="s">
        <v>2775</v>
      </c>
      <c r="C67" t="s">
        <v>125</v>
      </c>
      <c r="F67">
        <f t="shared" ref="F67:F101" si="2">IF(D67="",0,1)</f>
        <v>0</v>
      </c>
      <c r="G67">
        <f t="shared" ref="G67:G101" si="3">IF(E67="",0,1)</f>
        <v>0</v>
      </c>
    </row>
    <row r="68" spans="1:7" ht="48" x14ac:dyDescent="0.2">
      <c r="A68" s="3" t="s">
        <v>2639</v>
      </c>
      <c r="B68" s="7" t="s">
        <v>2776</v>
      </c>
      <c r="C68" t="s">
        <v>105</v>
      </c>
      <c r="F68">
        <f t="shared" si="2"/>
        <v>0</v>
      </c>
      <c r="G68">
        <f t="shared" si="3"/>
        <v>0</v>
      </c>
    </row>
    <row r="69" spans="1:7" ht="64" x14ac:dyDescent="0.2">
      <c r="A69" s="3" t="s">
        <v>2640</v>
      </c>
      <c r="B69" s="7" t="s">
        <v>2777</v>
      </c>
      <c r="C69" t="s">
        <v>2697</v>
      </c>
      <c r="F69">
        <f t="shared" si="2"/>
        <v>0</v>
      </c>
      <c r="G69">
        <f t="shared" si="3"/>
        <v>0</v>
      </c>
    </row>
    <row r="70" spans="1:7" ht="64" x14ac:dyDescent="0.2">
      <c r="A70" s="3" t="s">
        <v>2641</v>
      </c>
      <c r="B70" s="7" t="s">
        <v>2778</v>
      </c>
      <c r="C70" t="s">
        <v>2698</v>
      </c>
      <c r="F70">
        <f t="shared" si="2"/>
        <v>0</v>
      </c>
      <c r="G70">
        <f t="shared" si="3"/>
        <v>0</v>
      </c>
    </row>
    <row r="71" spans="1:7" ht="64" x14ac:dyDescent="0.2">
      <c r="A71" s="3" t="s">
        <v>2642</v>
      </c>
      <c r="B71" s="7" t="s">
        <v>2779</v>
      </c>
      <c r="C71" t="s">
        <v>84</v>
      </c>
      <c r="F71">
        <f t="shared" si="2"/>
        <v>0</v>
      </c>
      <c r="G71">
        <f t="shared" si="3"/>
        <v>0</v>
      </c>
    </row>
    <row r="72" spans="1:7" ht="48" x14ac:dyDescent="0.2">
      <c r="A72" s="3" t="s">
        <v>2643</v>
      </c>
      <c r="B72" s="7" t="s">
        <v>2780</v>
      </c>
      <c r="C72" t="s">
        <v>5</v>
      </c>
      <c r="F72">
        <f t="shared" si="2"/>
        <v>0</v>
      </c>
      <c r="G72">
        <f t="shared" si="3"/>
        <v>0</v>
      </c>
    </row>
    <row r="73" spans="1:7" ht="64" x14ac:dyDescent="0.2">
      <c r="A73" s="3" t="s">
        <v>2644</v>
      </c>
      <c r="B73" s="7" t="s">
        <v>2781</v>
      </c>
      <c r="C73" t="s">
        <v>2699</v>
      </c>
      <c r="F73">
        <f t="shared" si="2"/>
        <v>0</v>
      </c>
      <c r="G73">
        <f t="shared" si="3"/>
        <v>0</v>
      </c>
    </row>
    <row r="74" spans="1:7" ht="64" x14ac:dyDescent="0.2">
      <c r="A74" s="3" t="s">
        <v>2645</v>
      </c>
      <c r="B74" s="7" t="s">
        <v>2782</v>
      </c>
      <c r="C74" t="s">
        <v>15</v>
      </c>
      <c r="F74">
        <f t="shared" si="2"/>
        <v>0</v>
      </c>
      <c r="G74">
        <f t="shared" si="3"/>
        <v>0</v>
      </c>
    </row>
    <row r="75" spans="1:7" ht="48" x14ac:dyDescent="0.2">
      <c r="A75" s="3" t="s">
        <v>2646</v>
      </c>
      <c r="B75" s="7" t="s">
        <v>2783</v>
      </c>
      <c r="C75" t="s">
        <v>183</v>
      </c>
      <c r="F75">
        <f t="shared" si="2"/>
        <v>0</v>
      </c>
      <c r="G75">
        <f t="shared" si="3"/>
        <v>0</v>
      </c>
    </row>
    <row r="76" spans="1:7" ht="64" x14ac:dyDescent="0.2">
      <c r="A76" s="3" t="s">
        <v>2647</v>
      </c>
      <c r="B76" s="7" t="s">
        <v>2784</v>
      </c>
      <c r="C76" t="s">
        <v>2700</v>
      </c>
      <c r="F76">
        <f t="shared" si="2"/>
        <v>0</v>
      </c>
      <c r="G76">
        <f t="shared" si="3"/>
        <v>0</v>
      </c>
    </row>
    <row r="77" spans="1:7" ht="64" x14ac:dyDescent="0.2">
      <c r="A77" s="3" t="s">
        <v>2648</v>
      </c>
      <c r="B77" s="7" t="s">
        <v>2785</v>
      </c>
      <c r="C77" t="s">
        <v>2701</v>
      </c>
      <c r="F77">
        <f t="shared" si="2"/>
        <v>0</v>
      </c>
      <c r="G77">
        <f t="shared" si="3"/>
        <v>0</v>
      </c>
    </row>
    <row r="78" spans="1:7" ht="64" x14ac:dyDescent="0.2">
      <c r="A78" s="3" t="s">
        <v>2649</v>
      </c>
      <c r="B78" s="7" t="s">
        <v>2786</v>
      </c>
      <c r="C78" t="s">
        <v>685</v>
      </c>
      <c r="F78">
        <f t="shared" si="2"/>
        <v>0</v>
      </c>
      <c r="G78">
        <f t="shared" si="3"/>
        <v>0</v>
      </c>
    </row>
    <row r="79" spans="1:7" ht="64" x14ac:dyDescent="0.2">
      <c r="A79" s="3" t="s">
        <v>2650</v>
      </c>
      <c r="B79" s="7" t="s">
        <v>2787</v>
      </c>
      <c r="C79" t="s">
        <v>669</v>
      </c>
      <c r="F79">
        <f t="shared" si="2"/>
        <v>0</v>
      </c>
      <c r="G79">
        <f t="shared" si="3"/>
        <v>0</v>
      </c>
    </row>
    <row r="80" spans="1:7" ht="64" x14ac:dyDescent="0.2">
      <c r="A80" s="3" t="s">
        <v>2651</v>
      </c>
      <c r="B80" s="7" t="s">
        <v>2788</v>
      </c>
      <c r="C80" t="s">
        <v>40</v>
      </c>
      <c r="F80">
        <f t="shared" si="2"/>
        <v>0</v>
      </c>
      <c r="G80">
        <f t="shared" si="3"/>
        <v>0</v>
      </c>
    </row>
    <row r="81" spans="1:7" ht="64" x14ac:dyDescent="0.2">
      <c r="A81" s="3" t="s">
        <v>2652</v>
      </c>
      <c r="B81" s="7" t="s">
        <v>2789</v>
      </c>
      <c r="C81" t="s">
        <v>263</v>
      </c>
      <c r="F81">
        <f t="shared" si="2"/>
        <v>0</v>
      </c>
      <c r="G81">
        <f t="shared" si="3"/>
        <v>0</v>
      </c>
    </row>
    <row r="82" spans="1:7" ht="48" x14ac:dyDescent="0.2">
      <c r="A82" s="3" t="s">
        <v>2653</v>
      </c>
      <c r="B82" s="7" t="s">
        <v>2790</v>
      </c>
      <c r="C82" t="s">
        <v>2702</v>
      </c>
      <c r="D82" s="9" t="s">
        <v>88</v>
      </c>
      <c r="F82">
        <f t="shared" si="2"/>
        <v>1</v>
      </c>
      <c r="G82">
        <f t="shared" si="3"/>
        <v>0</v>
      </c>
    </row>
    <row r="83" spans="1:7" ht="64" x14ac:dyDescent="0.2">
      <c r="A83" s="3" t="s">
        <v>2654</v>
      </c>
      <c r="B83" s="7" t="s">
        <v>2791</v>
      </c>
      <c r="C83" t="s">
        <v>27</v>
      </c>
      <c r="F83">
        <f t="shared" si="2"/>
        <v>0</v>
      </c>
      <c r="G83">
        <f t="shared" si="3"/>
        <v>0</v>
      </c>
    </row>
    <row r="84" spans="1:7" ht="48" x14ac:dyDescent="0.2">
      <c r="A84" s="3" t="s">
        <v>2655</v>
      </c>
      <c r="B84" s="7" t="s">
        <v>2792</v>
      </c>
      <c r="C84" t="s">
        <v>63</v>
      </c>
      <c r="F84">
        <f t="shared" si="2"/>
        <v>0</v>
      </c>
      <c r="G84">
        <f t="shared" si="3"/>
        <v>0</v>
      </c>
    </row>
    <row r="85" spans="1:7" ht="64" x14ac:dyDescent="0.2">
      <c r="A85" s="3" t="s">
        <v>2656</v>
      </c>
      <c r="B85" s="7" t="s">
        <v>2793</v>
      </c>
      <c r="C85" t="s">
        <v>30</v>
      </c>
      <c r="F85">
        <f t="shared" si="2"/>
        <v>0</v>
      </c>
      <c r="G85">
        <f t="shared" si="3"/>
        <v>0</v>
      </c>
    </row>
    <row r="86" spans="1:7" ht="80" x14ac:dyDescent="0.2">
      <c r="A86" s="3" t="s">
        <v>2657</v>
      </c>
      <c r="B86" s="7" t="s">
        <v>2794</v>
      </c>
      <c r="C86" t="s">
        <v>292</v>
      </c>
      <c r="F86">
        <f t="shared" si="2"/>
        <v>0</v>
      </c>
      <c r="G86">
        <f t="shared" si="3"/>
        <v>0</v>
      </c>
    </row>
    <row r="87" spans="1:7" ht="64" x14ac:dyDescent="0.2">
      <c r="A87" s="3" t="s">
        <v>2658</v>
      </c>
      <c r="B87" s="7" t="s">
        <v>2795</v>
      </c>
      <c r="C87" t="s">
        <v>2703</v>
      </c>
      <c r="F87">
        <f t="shared" si="2"/>
        <v>0</v>
      </c>
      <c r="G87">
        <f t="shared" si="3"/>
        <v>0</v>
      </c>
    </row>
    <row r="88" spans="1:7" ht="64" x14ac:dyDescent="0.2">
      <c r="A88" s="3" t="s">
        <v>2659</v>
      </c>
      <c r="B88" s="7" t="s">
        <v>2810</v>
      </c>
      <c r="C88" t="s">
        <v>5</v>
      </c>
      <c r="F88">
        <f t="shared" si="2"/>
        <v>0</v>
      </c>
      <c r="G88">
        <f t="shared" si="3"/>
        <v>0</v>
      </c>
    </row>
    <row r="89" spans="1:7" ht="64" x14ac:dyDescent="0.2">
      <c r="A89" s="3" t="s">
        <v>2660</v>
      </c>
      <c r="B89" s="7" t="s">
        <v>2796</v>
      </c>
      <c r="C89" t="s">
        <v>82</v>
      </c>
      <c r="F89">
        <f t="shared" si="2"/>
        <v>0</v>
      </c>
      <c r="G89">
        <f t="shared" si="3"/>
        <v>0</v>
      </c>
    </row>
    <row r="90" spans="1:7" ht="64" x14ac:dyDescent="0.2">
      <c r="A90" s="3" t="s">
        <v>2661</v>
      </c>
      <c r="B90" s="7" t="s">
        <v>2797</v>
      </c>
      <c r="C90" t="s">
        <v>2704</v>
      </c>
      <c r="F90">
        <f t="shared" si="2"/>
        <v>0</v>
      </c>
      <c r="G90">
        <f t="shared" si="3"/>
        <v>0</v>
      </c>
    </row>
    <row r="91" spans="1:7" ht="64" x14ac:dyDescent="0.2">
      <c r="A91" s="3" t="s">
        <v>2662</v>
      </c>
      <c r="B91" s="7" t="s">
        <v>2798</v>
      </c>
      <c r="C91" t="s">
        <v>2705</v>
      </c>
      <c r="F91">
        <f t="shared" si="2"/>
        <v>0</v>
      </c>
      <c r="G91">
        <f t="shared" si="3"/>
        <v>0</v>
      </c>
    </row>
    <row r="92" spans="1:7" ht="64" x14ac:dyDescent="0.2">
      <c r="A92" s="3" t="s">
        <v>2663</v>
      </c>
      <c r="B92" s="7" t="s">
        <v>2799</v>
      </c>
      <c r="C92" t="s">
        <v>2706</v>
      </c>
      <c r="F92">
        <f t="shared" si="2"/>
        <v>0</v>
      </c>
      <c r="G92">
        <f t="shared" si="3"/>
        <v>0</v>
      </c>
    </row>
    <row r="93" spans="1:7" ht="64" x14ac:dyDescent="0.2">
      <c r="A93" s="3" t="s">
        <v>2664</v>
      </c>
      <c r="B93" s="7" t="s">
        <v>2800</v>
      </c>
      <c r="C93" t="s">
        <v>126</v>
      </c>
      <c r="F93">
        <f t="shared" si="2"/>
        <v>0</v>
      </c>
      <c r="G93">
        <f t="shared" si="3"/>
        <v>0</v>
      </c>
    </row>
    <row r="94" spans="1:7" ht="64" x14ac:dyDescent="0.2">
      <c r="A94" s="3" t="s">
        <v>2665</v>
      </c>
      <c r="B94" s="7" t="s">
        <v>2801</v>
      </c>
      <c r="C94" t="s">
        <v>159</v>
      </c>
      <c r="F94">
        <f t="shared" si="2"/>
        <v>0</v>
      </c>
      <c r="G94">
        <f t="shared" si="3"/>
        <v>0</v>
      </c>
    </row>
    <row r="95" spans="1:7" ht="64" x14ac:dyDescent="0.2">
      <c r="A95" s="3" t="s">
        <v>2666</v>
      </c>
      <c r="B95" s="7" t="s">
        <v>2802</v>
      </c>
      <c r="C95" t="s">
        <v>3</v>
      </c>
      <c r="F95">
        <f t="shared" si="2"/>
        <v>0</v>
      </c>
      <c r="G95">
        <f t="shared" si="3"/>
        <v>0</v>
      </c>
    </row>
    <row r="96" spans="1:7" ht="80" x14ac:dyDescent="0.2">
      <c r="A96" s="3" t="s">
        <v>2667</v>
      </c>
      <c r="B96" s="7" t="s">
        <v>2803</v>
      </c>
      <c r="C96" t="s">
        <v>2707</v>
      </c>
      <c r="F96">
        <f t="shared" si="2"/>
        <v>0</v>
      </c>
      <c r="G96">
        <f t="shared" si="3"/>
        <v>0</v>
      </c>
    </row>
    <row r="97" spans="1:7" ht="64" x14ac:dyDescent="0.2">
      <c r="A97" s="3" t="s">
        <v>2668</v>
      </c>
      <c r="B97" s="7" t="s">
        <v>2804</v>
      </c>
      <c r="C97" t="s">
        <v>12</v>
      </c>
      <c r="F97">
        <f t="shared" si="2"/>
        <v>0</v>
      </c>
      <c r="G97">
        <f t="shared" si="3"/>
        <v>0</v>
      </c>
    </row>
    <row r="98" spans="1:7" ht="64" x14ac:dyDescent="0.2">
      <c r="A98" s="3" t="s">
        <v>2669</v>
      </c>
      <c r="B98" s="7" t="s">
        <v>2805</v>
      </c>
      <c r="C98" t="s">
        <v>2708</v>
      </c>
      <c r="F98">
        <f t="shared" si="2"/>
        <v>0</v>
      </c>
      <c r="G98">
        <f t="shared" si="3"/>
        <v>0</v>
      </c>
    </row>
    <row r="99" spans="1:7" ht="64" x14ac:dyDescent="0.2">
      <c r="A99" s="3" t="s">
        <v>2670</v>
      </c>
      <c r="B99" s="7" t="s">
        <v>2806</v>
      </c>
      <c r="C99" t="s">
        <v>1151</v>
      </c>
      <c r="F99">
        <f t="shared" si="2"/>
        <v>0</v>
      </c>
      <c r="G99">
        <f t="shared" si="3"/>
        <v>0</v>
      </c>
    </row>
    <row r="100" spans="1:7" ht="64" x14ac:dyDescent="0.2">
      <c r="A100" s="3" t="s">
        <v>2671</v>
      </c>
      <c r="B100" s="7" t="s">
        <v>2807</v>
      </c>
      <c r="C100" t="s">
        <v>2</v>
      </c>
      <c r="F100">
        <f t="shared" si="2"/>
        <v>0</v>
      </c>
      <c r="G100">
        <f t="shared" si="3"/>
        <v>0</v>
      </c>
    </row>
    <row r="101" spans="1:7" ht="64" x14ac:dyDescent="0.2">
      <c r="A101" s="3" t="s">
        <v>2672</v>
      </c>
      <c r="B101" s="7" t="s">
        <v>2808</v>
      </c>
      <c r="C101" t="s">
        <v>2709</v>
      </c>
      <c r="F101">
        <f t="shared" si="2"/>
        <v>0</v>
      </c>
      <c r="G101">
        <f t="shared" si="3"/>
        <v>0</v>
      </c>
    </row>
    <row r="103" spans="1:7" x14ac:dyDescent="0.2">
      <c r="F103" s="10">
        <f>SUM(F2:F101)</f>
        <v>3</v>
      </c>
      <c r="G103" s="10">
        <f>SUM(G2:G101)</f>
        <v>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AB1F1-7508-DC41-B660-1876AF70C66E}">
  <dimension ref="A1:G103"/>
  <sheetViews>
    <sheetView topLeftCell="A97" zoomScale="160" zoomScaleNormal="160" workbookViewId="0">
      <selection activeCell="D101" sqref="D101"/>
    </sheetView>
  </sheetViews>
  <sheetFormatPr baseColWidth="10" defaultRowHeight="15" x14ac:dyDescent="0.2"/>
  <cols>
    <col min="1" max="1" width="41" style="3" customWidth="1"/>
    <col min="2" max="2" width="56.1640625" style="7" customWidth="1"/>
    <col min="3" max="3" width="8.83203125"/>
    <col min="4" max="4" width="15.1640625" style="9" customWidth="1"/>
    <col min="5" max="5" width="13.33203125" customWidth="1"/>
  </cols>
  <sheetData>
    <row r="1" spans="1:7" ht="16" x14ac:dyDescent="0.2">
      <c r="A1" s="2" t="s">
        <v>0</v>
      </c>
      <c r="B1" s="6" t="s">
        <v>101</v>
      </c>
      <c r="C1" s="1" t="s">
        <v>1</v>
      </c>
      <c r="D1" s="8"/>
      <c r="E1" s="1"/>
      <c r="F1" s="1" t="s">
        <v>44</v>
      </c>
      <c r="G1" s="1" t="s">
        <v>45</v>
      </c>
    </row>
    <row r="2" spans="1:7" ht="48" x14ac:dyDescent="0.2">
      <c r="A2" s="3" t="s">
        <v>2813</v>
      </c>
      <c r="B2" s="3" t="s">
        <v>2945</v>
      </c>
      <c r="C2" t="s">
        <v>2911</v>
      </c>
      <c r="D2"/>
      <c r="F2">
        <f>IF(D2="",0,1)</f>
        <v>0</v>
      </c>
      <c r="G2">
        <f>IF(E2="",0,1)</f>
        <v>0</v>
      </c>
    </row>
    <row r="3" spans="1:7" ht="80" x14ac:dyDescent="0.2">
      <c r="A3" s="3" t="s">
        <v>2814</v>
      </c>
      <c r="B3" s="3" t="s">
        <v>2946</v>
      </c>
      <c r="C3" t="s">
        <v>66</v>
      </c>
      <c r="D3"/>
      <c r="F3">
        <f t="shared" ref="F3:G66" si="0">IF(D3="",0,1)</f>
        <v>0</v>
      </c>
      <c r="G3">
        <f t="shared" si="0"/>
        <v>0</v>
      </c>
    </row>
    <row r="4" spans="1:7" ht="64" x14ac:dyDescent="0.2">
      <c r="A4" s="3" t="s">
        <v>2815</v>
      </c>
      <c r="B4" s="3" t="s">
        <v>2947</v>
      </c>
      <c r="C4" t="s">
        <v>2912</v>
      </c>
      <c r="D4"/>
      <c r="F4">
        <f t="shared" si="0"/>
        <v>0</v>
      </c>
      <c r="G4">
        <f t="shared" si="0"/>
        <v>0</v>
      </c>
    </row>
    <row r="5" spans="1:7" ht="64" x14ac:dyDescent="0.2">
      <c r="A5" s="3" t="s">
        <v>2816</v>
      </c>
      <c r="B5" s="3" t="s">
        <v>2948</v>
      </c>
      <c r="C5" t="s">
        <v>78</v>
      </c>
      <c r="D5"/>
      <c r="F5">
        <f t="shared" si="0"/>
        <v>0</v>
      </c>
      <c r="G5">
        <f t="shared" si="0"/>
        <v>0</v>
      </c>
    </row>
    <row r="6" spans="1:7" ht="48" x14ac:dyDescent="0.2">
      <c r="A6" s="3" t="s">
        <v>2817</v>
      </c>
      <c r="B6" s="3" t="s">
        <v>2949</v>
      </c>
      <c r="C6" t="s">
        <v>2913</v>
      </c>
      <c r="D6"/>
      <c r="F6">
        <f t="shared" si="0"/>
        <v>0</v>
      </c>
      <c r="G6">
        <f t="shared" si="0"/>
        <v>0</v>
      </c>
    </row>
    <row r="7" spans="1:7" ht="64" x14ac:dyDescent="0.2">
      <c r="A7" s="3" t="s">
        <v>2818</v>
      </c>
      <c r="B7" s="3" t="s">
        <v>2950</v>
      </c>
      <c r="C7" t="s">
        <v>224</v>
      </c>
      <c r="D7"/>
      <c r="F7">
        <f t="shared" si="0"/>
        <v>0</v>
      </c>
      <c r="G7">
        <f t="shared" si="0"/>
        <v>0</v>
      </c>
    </row>
    <row r="8" spans="1:7" ht="64" x14ac:dyDescent="0.2">
      <c r="A8" s="3" t="s">
        <v>2819</v>
      </c>
      <c r="B8" s="3" t="s">
        <v>2951</v>
      </c>
      <c r="C8" t="s">
        <v>67</v>
      </c>
      <c r="D8"/>
      <c r="E8" t="s">
        <v>118</v>
      </c>
      <c r="F8">
        <f t="shared" si="0"/>
        <v>0</v>
      </c>
      <c r="G8">
        <f t="shared" si="0"/>
        <v>1</v>
      </c>
    </row>
    <row r="9" spans="1:7" ht="80" x14ac:dyDescent="0.2">
      <c r="A9" s="3" t="s">
        <v>2820</v>
      </c>
      <c r="B9" s="3" t="s">
        <v>2952</v>
      </c>
      <c r="C9" t="s">
        <v>13</v>
      </c>
      <c r="D9"/>
      <c r="F9">
        <f t="shared" si="0"/>
        <v>0</v>
      </c>
      <c r="G9">
        <f t="shared" si="0"/>
        <v>0</v>
      </c>
    </row>
    <row r="10" spans="1:7" ht="64" x14ac:dyDescent="0.2">
      <c r="A10" s="3" t="s">
        <v>2821</v>
      </c>
      <c r="B10" s="3" t="s">
        <v>2953</v>
      </c>
      <c r="C10" t="s">
        <v>109</v>
      </c>
      <c r="D10"/>
      <c r="F10">
        <f t="shared" si="0"/>
        <v>0</v>
      </c>
      <c r="G10">
        <f t="shared" si="0"/>
        <v>0</v>
      </c>
    </row>
    <row r="11" spans="1:7" ht="64" x14ac:dyDescent="0.2">
      <c r="A11" s="3" t="s">
        <v>2822</v>
      </c>
      <c r="B11" s="3" t="s">
        <v>2954</v>
      </c>
      <c r="C11" t="s">
        <v>2914</v>
      </c>
      <c r="D11"/>
      <c r="F11">
        <f t="shared" si="0"/>
        <v>0</v>
      </c>
      <c r="G11">
        <f t="shared" si="0"/>
        <v>0</v>
      </c>
    </row>
    <row r="12" spans="1:7" ht="48" x14ac:dyDescent="0.2">
      <c r="A12" s="3" t="s">
        <v>2823</v>
      </c>
      <c r="B12" s="3" t="s">
        <v>2955</v>
      </c>
      <c r="C12" t="s">
        <v>2915</v>
      </c>
      <c r="D12"/>
      <c r="F12">
        <f t="shared" si="0"/>
        <v>0</v>
      </c>
      <c r="G12">
        <f t="shared" si="0"/>
        <v>0</v>
      </c>
    </row>
    <row r="13" spans="1:7" ht="96" x14ac:dyDescent="0.2">
      <c r="A13" s="3" t="s">
        <v>2824</v>
      </c>
      <c r="B13" s="3" t="s">
        <v>2956</v>
      </c>
      <c r="C13" t="s">
        <v>133</v>
      </c>
      <c r="D13"/>
      <c r="F13">
        <f t="shared" si="0"/>
        <v>0</v>
      </c>
      <c r="G13">
        <f t="shared" si="0"/>
        <v>0</v>
      </c>
    </row>
    <row r="14" spans="1:7" ht="64" x14ac:dyDescent="0.2">
      <c r="A14" s="3" t="s">
        <v>2825</v>
      </c>
      <c r="B14" s="3" t="s">
        <v>2957</v>
      </c>
      <c r="C14" t="s">
        <v>2916</v>
      </c>
      <c r="D14"/>
      <c r="F14">
        <f t="shared" si="0"/>
        <v>0</v>
      </c>
      <c r="G14">
        <f t="shared" si="0"/>
        <v>0</v>
      </c>
    </row>
    <row r="15" spans="1:7" ht="48" x14ac:dyDescent="0.2">
      <c r="A15" s="3" t="s">
        <v>2826</v>
      </c>
      <c r="B15" s="3" t="s">
        <v>2958</v>
      </c>
      <c r="C15" t="s">
        <v>2917</v>
      </c>
      <c r="D15"/>
      <c r="F15">
        <f t="shared" si="0"/>
        <v>0</v>
      </c>
      <c r="G15">
        <f t="shared" si="0"/>
        <v>0</v>
      </c>
    </row>
    <row r="16" spans="1:7" ht="64" x14ac:dyDescent="0.2">
      <c r="A16" s="3" t="s">
        <v>2827</v>
      </c>
      <c r="B16" s="3" t="s">
        <v>2959</v>
      </c>
      <c r="C16" t="s">
        <v>1845</v>
      </c>
      <c r="D16"/>
      <c r="E16" t="s">
        <v>46</v>
      </c>
      <c r="F16">
        <f t="shared" si="0"/>
        <v>0</v>
      </c>
      <c r="G16">
        <f t="shared" si="0"/>
        <v>1</v>
      </c>
    </row>
    <row r="17" spans="1:7" ht="64" x14ac:dyDescent="0.2">
      <c r="A17" s="3" t="s">
        <v>2828</v>
      </c>
      <c r="B17" s="3" t="s">
        <v>2960</v>
      </c>
      <c r="C17" t="s">
        <v>2918</v>
      </c>
      <c r="D17"/>
      <c r="F17">
        <f t="shared" si="0"/>
        <v>0</v>
      </c>
      <c r="G17">
        <f t="shared" si="0"/>
        <v>0</v>
      </c>
    </row>
    <row r="18" spans="1:7" ht="80" x14ac:dyDescent="0.2">
      <c r="A18" s="3" t="s">
        <v>2829</v>
      </c>
      <c r="B18" s="3" t="s">
        <v>2961</v>
      </c>
      <c r="C18" t="s">
        <v>2084</v>
      </c>
      <c r="D18"/>
      <c r="F18">
        <f t="shared" si="0"/>
        <v>0</v>
      </c>
      <c r="G18">
        <f t="shared" si="0"/>
        <v>0</v>
      </c>
    </row>
    <row r="19" spans="1:7" ht="64" x14ac:dyDescent="0.2">
      <c r="A19" s="3" t="s">
        <v>2830</v>
      </c>
      <c r="B19" s="3" t="s">
        <v>2962</v>
      </c>
      <c r="C19" t="s">
        <v>2082</v>
      </c>
      <c r="D19"/>
      <c r="F19">
        <f t="shared" si="0"/>
        <v>0</v>
      </c>
      <c r="G19">
        <f t="shared" si="0"/>
        <v>0</v>
      </c>
    </row>
    <row r="20" spans="1:7" ht="64" x14ac:dyDescent="0.2">
      <c r="A20" s="3" t="s">
        <v>2831</v>
      </c>
      <c r="B20" s="3" t="s">
        <v>2963</v>
      </c>
      <c r="C20" t="s">
        <v>2919</v>
      </c>
      <c r="D20"/>
      <c r="F20">
        <f t="shared" si="0"/>
        <v>0</v>
      </c>
      <c r="G20">
        <f t="shared" si="0"/>
        <v>0</v>
      </c>
    </row>
    <row r="21" spans="1:7" ht="64" x14ac:dyDescent="0.2">
      <c r="A21" s="3" t="s">
        <v>2832</v>
      </c>
      <c r="B21" s="3" t="s">
        <v>2964</v>
      </c>
      <c r="C21" t="s">
        <v>67</v>
      </c>
      <c r="D21"/>
      <c r="F21">
        <f t="shared" si="0"/>
        <v>0</v>
      </c>
      <c r="G21">
        <f t="shared" si="0"/>
        <v>0</v>
      </c>
    </row>
    <row r="22" spans="1:7" ht="48" x14ac:dyDescent="0.2">
      <c r="A22" s="3" t="s">
        <v>2833</v>
      </c>
      <c r="B22" s="3" t="s">
        <v>2965</v>
      </c>
      <c r="C22" t="s">
        <v>2</v>
      </c>
      <c r="D22"/>
      <c r="F22">
        <f t="shared" si="0"/>
        <v>0</v>
      </c>
      <c r="G22">
        <f t="shared" si="0"/>
        <v>0</v>
      </c>
    </row>
    <row r="23" spans="1:7" ht="96" x14ac:dyDescent="0.2">
      <c r="A23" s="3" t="s">
        <v>2834</v>
      </c>
      <c r="B23" s="3" t="s">
        <v>2966</v>
      </c>
      <c r="C23" t="s">
        <v>2920</v>
      </c>
      <c r="D23"/>
      <c r="F23">
        <f t="shared" si="0"/>
        <v>0</v>
      </c>
      <c r="G23">
        <f t="shared" si="0"/>
        <v>0</v>
      </c>
    </row>
    <row r="24" spans="1:7" ht="64" x14ac:dyDescent="0.2">
      <c r="A24" s="3" t="s">
        <v>2835</v>
      </c>
      <c r="B24" s="3" t="s">
        <v>2967</v>
      </c>
      <c r="C24" t="s">
        <v>134</v>
      </c>
      <c r="D24"/>
      <c r="F24">
        <f t="shared" si="0"/>
        <v>0</v>
      </c>
      <c r="G24">
        <f t="shared" si="0"/>
        <v>0</v>
      </c>
    </row>
    <row r="25" spans="1:7" ht="80" x14ac:dyDescent="0.2">
      <c r="A25" s="3" t="s">
        <v>2836</v>
      </c>
      <c r="B25" s="3" t="s">
        <v>2968</v>
      </c>
      <c r="C25" t="s">
        <v>6</v>
      </c>
      <c r="D25"/>
      <c r="F25">
        <f t="shared" si="0"/>
        <v>0</v>
      </c>
      <c r="G25">
        <f t="shared" si="0"/>
        <v>0</v>
      </c>
    </row>
    <row r="26" spans="1:7" ht="64" x14ac:dyDescent="0.2">
      <c r="A26" s="3" t="s">
        <v>2837</v>
      </c>
      <c r="B26" s="3" t="s">
        <v>2969</v>
      </c>
      <c r="C26" t="s">
        <v>2921</v>
      </c>
      <c r="D26"/>
      <c r="F26">
        <f t="shared" si="0"/>
        <v>0</v>
      </c>
      <c r="G26">
        <f t="shared" si="0"/>
        <v>0</v>
      </c>
    </row>
    <row r="27" spans="1:7" ht="80" x14ac:dyDescent="0.2">
      <c r="A27" s="3" t="s">
        <v>2838</v>
      </c>
      <c r="B27" s="3" t="s">
        <v>2970</v>
      </c>
      <c r="C27" t="s">
        <v>1140</v>
      </c>
      <c r="D27"/>
      <c r="E27" t="s">
        <v>119</v>
      </c>
      <c r="F27">
        <f t="shared" si="0"/>
        <v>0</v>
      </c>
      <c r="G27">
        <f t="shared" si="0"/>
        <v>1</v>
      </c>
    </row>
    <row r="28" spans="1:7" ht="64" x14ac:dyDescent="0.2">
      <c r="A28" s="3" t="s">
        <v>262</v>
      </c>
      <c r="B28" s="3" t="s">
        <v>279</v>
      </c>
      <c r="C28" t="s">
        <v>17</v>
      </c>
      <c r="D28"/>
      <c r="F28">
        <f t="shared" si="0"/>
        <v>0</v>
      </c>
      <c r="G28">
        <f t="shared" si="0"/>
        <v>0</v>
      </c>
    </row>
    <row r="29" spans="1:7" ht="64" x14ac:dyDescent="0.2">
      <c r="A29" s="3" t="s">
        <v>2839</v>
      </c>
      <c r="B29" s="3" t="s">
        <v>2971</v>
      </c>
      <c r="C29" t="s">
        <v>137</v>
      </c>
      <c r="D29"/>
      <c r="F29">
        <f t="shared" si="0"/>
        <v>0</v>
      </c>
      <c r="G29">
        <f t="shared" si="0"/>
        <v>0</v>
      </c>
    </row>
    <row r="30" spans="1:7" ht="80" x14ac:dyDescent="0.2">
      <c r="A30" s="3" t="s">
        <v>2840</v>
      </c>
      <c r="B30" s="3" t="s">
        <v>2972</v>
      </c>
      <c r="C30" t="s">
        <v>18</v>
      </c>
      <c r="D30"/>
      <c r="F30">
        <f t="shared" si="0"/>
        <v>0</v>
      </c>
      <c r="G30">
        <f t="shared" si="0"/>
        <v>0</v>
      </c>
    </row>
    <row r="31" spans="1:7" ht="80" x14ac:dyDescent="0.2">
      <c r="A31" s="3" t="s">
        <v>2841</v>
      </c>
      <c r="B31" s="3" t="s">
        <v>2973</v>
      </c>
      <c r="C31" t="s">
        <v>2922</v>
      </c>
      <c r="D31"/>
      <c r="F31">
        <f t="shared" si="0"/>
        <v>0</v>
      </c>
      <c r="G31">
        <f t="shared" si="0"/>
        <v>0</v>
      </c>
    </row>
    <row r="32" spans="1:7" ht="64" x14ac:dyDescent="0.2">
      <c r="A32" s="3" t="s">
        <v>2842</v>
      </c>
      <c r="B32" s="3" t="s">
        <v>2974</v>
      </c>
      <c r="C32" t="s">
        <v>134</v>
      </c>
      <c r="D32"/>
      <c r="F32">
        <f t="shared" si="0"/>
        <v>0</v>
      </c>
      <c r="G32">
        <f t="shared" si="0"/>
        <v>0</v>
      </c>
    </row>
    <row r="33" spans="1:7" ht="48" x14ac:dyDescent="0.2">
      <c r="A33" s="3" t="s">
        <v>2843</v>
      </c>
      <c r="B33" s="3" t="s">
        <v>2975</v>
      </c>
      <c r="C33" t="s">
        <v>2923</v>
      </c>
      <c r="D33"/>
      <c r="F33">
        <f t="shared" si="0"/>
        <v>0</v>
      </c>
      <c r="G33">
        <f t="shared" si="0"/>
        <v>0</v>
      </c>
    </row>
    <row r="34" spans="1:7" ht="64" x14ac:dyDescent="0.2">
      <c r="A34" s="3" t="s">
        <v>2844</v>
      </c>
      <c r="B34" s="3" t="s">
        <v>2976</v>
      </c>
      <c r="C34" t="s">
        <v>2924</v>
      </c>
      <c r="D34"/>
      <c r="F34">
        <f t="shared" si="0"/>
        <v>0</v>
      </c>
      <c r="G34">
        <f t="shared" si="0"/>
        <v>0</v>
      </c>
    </row>
    <row r="35" spans="1:7" ht="64" x14ac:dyDescent="0.2">
      <c r="A35" s="3" t="s">
        <v>2845</v>
      </c>
      <c r="B35" s="3" t="s">
        <v>2977</v>
      </c>
      <c r="C35" t="s">
        <v>2925</v>
      </c>
      <c r="D35"/>
      <c r="F35">
        <f t="shared" si="0"/>
        <v>0</v>
      </c>
      <c r="G35">
        <f t="shared" si="0"/>
        <v>0</v>
      </c>
    </row>
    <row r="36" spans="1:7" ht="64" x14ac:dyDescent="0.2">
      <c r="A36" s="3" t="s">
        <v>2846</v>
      </c>
      <c r="B36" s="3" t="s">
        <v>2978</v>
      </c>
      <c r="C36" t="s">
        <v>2926</v>
      </c>
      <c r="D36"/>
      <c r="F36">
        <f t="shared" si="0"/>
        <v>0</v>
      </c>
      <c r="G36">
        <f t="shared" si="0"/>
        <v>0</v>
      </c>
    </row>
    <row r="37" spans="1:7" ht="80" x14ac:dyDescent="0.2">
      <c r="A37" s="3" t="s">
        <v>2847</v>
      </c>
      <c r="B37" s="3" t="s">
        <v>2979</v>
      </c>
      <c r="C37" t="s">
        <v>433</v>
      </c>
      <c r="D37"/>
      <c r="F37">
        <f t="shared" si="0"/>
        <v>0</v>
      </c>
      <c r="G37">
        <f t="shared" si="0"/>
        <v>0</v>
      </c>
    </row>
    <row r="38" spans="1:7" ht="80" x14ac:dyDescent="0.2">
      <c r="A38" s="3" t="s">
        <v>2848</v>
      </c>
      <c r="B38" s="3" t="s">
        <v>2980</v>
      </c>
      <c r="C38" t="s">
        <v>109</v>
      </c>
      <c r="D38"/>
      <c r="F38">
        <f t="shared" si="0"/>
        <v>0</v>
      </c>
      <c r="G38">
        <f t="shared" si="0"/>
        <v>0</v>
      </c>
    </row>
    <row r="39" spans="1:7" ht="64" x14ac:dyDescent="0.2">
      <c r="A39" s="3" t="s">
        <v>2849</v>
      </c>
      <c r="B39" s="3" t="s">
        <v>2981</v>
      </c>
      <c r="C39" t="s">
        <v>2927</v>
      </c>
      <c r="D39"/>
      <c r="F39">
        <f t="shared" si="0"/>
        <v>0</v>
      </c>
      <c r="G39">
        <f t="shared" si="0"/>
        <v>0</v>
      </c>
    </row>
    <row r="40" spans="1:7" ht="48" x14ac:dyDescent="0.2">
      <c r="A40" s="3" t="s">
        <v>2850</v>
      </c>
      <c r="B40" s="3" t="s">
        <v>2982</v>
      </c>
      <c r="C40" t="s">
        <v>2928</v>
      </c>
      <c r="D40"/>
      <c r="F40">
        <f t="shared" si="0"/>
        <v>0</v>
      </c>
      <c r="G40">
        <f t="shared" si="0"/>
        <v>0</v>
      </c>
    </row>
    <row r="41" spans="1:7" ht="64" x14ac:dyDescent="0.2">
      <c r="A41" s="3" t="s">
        <v>261</v>
      </c>
      <c r="B41" s="3" t="s">
        <v>278</v>
      </c>
      <c r="C41" t="s">
        <v>127</v>
      </c>
      <c r="D41"/>
      <c r="F41">
        <f t="shared" si="0"/>
        <v>0</v>
      </c>
      <c r="G41">
        <f t="shared" si="0"/>
        <v>0</v>
      </c>
    </row>
    <row r="42" spans="1:7" ht="64" x14ac:dyDescent="0.2">
      <c r="A42" s="3" t="s">
        <v>2851</v>
      </c>
      <c r="B42" s="3" t="s">
        <v>2983</v>
      </c>
      <c r="C42" t="s">
        <v>222</v>
      </c>
      <c r="D42"/>
      <c r="F42">
        <f t="shared" si="0"/>
        <v>0</v>
      </c>
      <c r="G42">
        <f t="shared" si="0"/>
        <v>0</v>
      </c>
    </row>
    <row r="43" spans="1:7" ht="64" x14ac:dyDescent="0.2">
      <c r="A43" s="3" t="s">
        <v>2852</v>
      </c>
      <c r="B43" s="3" t="s">
        <v>2984</v>
      </c>
      <c r="C43" t="s">
        <v>2929</v>
      </c>
      <c r="D43"/>
      <c r="F43">
        <f t="shared" si="0"/>
        <v>0</v>
      </c>
      <c r="G43">
        <f t="shared" si="0"/>
        <v>0</v>
      </c>
    </row>
    <row r="44" spans="1:7" ht="64" x14ac:dyDescent="0.2">
      <c r="A44" s="3" t="s">
        <v>2853</v>
      </c>
      <c r="B44" s="3" t="s">
        <v>2985</v>
      </c>
      <c r="C44" t="s">
        <v>2684</v>
      </c>
      <c r="D44"/>
      <c r="F44">
        <f t="shared" si="0"/>
        <v>0</v>
      </c>
      <c r="G44">
        <f t="shared" si="0"/>
        <v>0</v>
      </c>
    </row>
    <row r="45" spans="1:7" ht="64" x14ac:dyDescent="0.2">
      <c r="A45" s="3" t="s">
        <v>2854</v>
      </c>
      <c r="B45" s="3" t="s">
        <v>2986</v>
      </c>
      <c r="C45" t="s">
        <v>273</v>
      </c>
      <c r="D45"/>
      <c r="F45">
        <f t="shared" si="0"/>
        <v>0</v>
      </c>
      <c r="G45">
        <f t="shared" si="0"/>
        <v>0</v>
      </c>
    </row>
    <row r="46" spans="1:7" ht="64" x14ac:dyDescent="0.2">
      <c r="A46" s="3" t="s">
        <v>2855</v>
      </c>
      <c r="B46" s="3" t="s">
        <v>2987</v>
      </c>
      <c r="C46" t="s">
        <v>84</v>
      </c>
      <c r="D46"/>
      <c r="F46">
        <f t="shared" si="0"/>
        <v>0</v>
      </c>
      <c r="G46">
        <f t="shared" si="0"/>
        <v>0</v>
      </c>
    </row>
    <row r="47" spans="1:7" ht="64" x14ac:dyDescent="0.2">
      <c r="A47" s="3" t="s">
        <v>2856</v>
      </c>
      <c r="B47" s="3" t="s">
        <v>2988</v>
      </c>
      <c r="C47" t="s">
        <v>2930</v>
      </c>
      <c r="D47"/>
      <c r="F47">
        <f t="shared" si="0"/>
        <v>0</v>
      </c>
      <c r="G47">
        <f t="shared" si="0"/>
        <v>0</v>
      </c>
    </row>
    <row r="48" spans="1:7" ht="64" x14ac:dyDescent="0.2">
      <c r="A48" s="3" t="s">
        <v>2857</v>
      </c>
      <c r="B48" s="3" t="s">
        <v>2989</v>
      </c>
      <c r="C48" t="s">
        <v>4</v>
      </c>
      <c r="D48"/>
      <c r="F48">
        <f t="shared" si="0"/>
        <v>0</v>
      </c>
      <c r="G48">
        <f t="shared" si="0"/>
        <v>0</v>
      </c>
    </row>
    <row r="49" spans="1:7" ht="64" x14ac:dyDescent="0.2">
      <c r="A49" s="3" t="s">
        <v>2858</v>
      </c>
      <c r="B49" s="3" t="s">
        <v>2990</v>
      </c>
      <c r="C49" t="s">
        <v>135</v>
      </c>
      <c r="D49"/>
      <c r="F49">
        <f t="shared" si="0"/>
        <v>0</v>
      </c>
      <c r="G49">
        <f t="shared" si="0"/>
        <v>0</v>
      </c>
    </row>
    <row r="50" spans="1:7" ht="64" x14ac:dyDescent="0.2">
      <c r="A50" s="3" t="s">
        <v>2859</v>
      </c>
      <c r="B50" s="3" t="s">
        <v>2991</v>
      </c>
      <c r="C50" t="s">
        <v>1855</v>
      </c>
      <c r="D50"/>
      <c r="F50">
        <f t="shared" si="0"/>
        <v>0</v>
      </c>
      <c r="G50">
        <f t="shared" si="0"/>
        <v>0</v>
      </c>
    </row>
    <row r="51" spans="1:7" ht="64" x14ac:dyDescent="0.2">
      <c r="A51" s="3" t="s">
        <v>2860</v>
      </c>
      <c r="B51" s="3" t="s">
        <v>2992</v>
      </c>
      <c r="C51" t="s">
        <v>99</v>
      </c>
      <c r="D51"/>
      <c r="F51">
        <f t="shared" si="0"/>
        <v>0</v>
      </c>
      <c r="G51">
        <f t="shared" si="0"/>
        <v>0</v>
      </c>
    </row>
    <row r="52" spans="1:7" ht="80" x14ac:dyDescent="0.2">
      <c r="A52" s="3" t="s">
        <v>2861</v>
      </c>
      <c r="B52" s="3" t="s">
        <v>2993</v>
      </c>
      <c r="C52" t="s">
        <v>187</v>
      </c>
      <c r="D52"/>
      <c r="F52">
        <f t="shared" si="0"/>
        <v>0</v>
      </c>
      <c r="G52">
        <f t="shared" si="0"/>
        <v>0</v>
      </c>
    </row>
    <row r="53" spans="1:7" ht="64" x14ac:dyDescent="0.2">
      <c r="A53" s="3" t="s">
        <v>2862</v>
      </c>
      <c r="B53" s="3" t="s">
        <v>2994</v>
      </c>
      <c r="C53" t="s">
        <v>77</v>
      </c>
      <c r="D53"/>
      <c r="F53">
        <f t="shared" si="0"/>
        <v>0</v>
      </c>
      <c r="G53">
        <f t="shared" si="0"/>
        <v>0</v>
      </c>
    </row>
    <row r="54" spans="1:7" ht="64" x14ac:dyDescent="0.2">
      <c r="A54" s="3" t="s">
        <v>2863</v>
      </c>
      <c r="B54" s="3" t="s">
        <v>2995</v>
      </c>
      <c r="C54" t="s">
        <v>63</v>
      </c>
      <c r="D54"/>
      <c r="F54">
        <f t="shared" si="0"/>
        <v>0</v>
      </c>
      <c r="G54">
        <f t="shared" si="0"/>
        <v>0</v>
      </c>
    </row>
    <row r="55" spans="1:7" ht="64" x14ac:dyDescent="0.2">
      <c r="A55" s="3" t="s">
        <v>2864</v>
      </c>
      <c r="B55" s="3" t="s">
        <v>2996</v>
      </c>
      <c r="C55" t="s">
        <v>2080</v>
      </c>
      <c r="D55"/>
      <c r="F55">
        <f t="shared" si="0"/>
        <v>0</v>
      </c>
      <c r="G55">
        <f t="shared" si="0"/>
        <v>0</v>
      </c>
    </row>
    <row r="56" spans="1:7" ht="48" x14ac:dyDescent="0.2">
      <c r="A56" s="3" t="s">
        <v>2865</v>
      </c>
      <c r="B56" s="3" t="s">
        <v>2997</v>
      </c>
      <c r="C56" t="s">
        <v>1842</v>
      </c>
      <c r="D56"/>
      <c r="F56">
        <f t="shared" si="0"/>
        <v>0</v>
      </c>
      <c r="G56">
        <f t="shared" si="0"/>
        <v>0</v>
      </c>
    </row>
    <row r="57" spans="1:7" ht="64" x14ac:dyDescent="0.2">
      <c r="A57" s="3" t="s">
        <v>2866</v>
      </c>
      <c r="B57" s="3" t="s">
        <v>2998</v>
      </c>
      <c r="C57" t="s">
        <v>6</v>
      </c>
      <c r="D57"/>
      <c r="F57">
        <f t="shared" si="0"/>
        <v>0</v>
      </c>
      <c r="G57">
        <f t="shared" si="0"/>
        <v>0</v>
      </c>
    </row>
    <row r="58" spans="1:7" ht="80" x14ac:dyDescent="0.2">
      <c r="A58" s="3" t="s">
        <v>2867</v>
      </c>
      <c r="B58" s="3" t="s">
        <v>2999</v>
      </c>
      <c r="C58" t="s">
        <v>2931</v>
      </c>
      <c r="D58"/>
      <c r="F58">
        <f t="shared" si="0"/>
        <v>0</v>
      </c>
      <c r="G58">
        <f t="shared" si="0"/>
        <v>0</v>
      </c>
    </row>
    <row r="59" spans="1:7" ht="80" x14ac:dyDescent="0.2">
      <c r="A59" s="3" t="s">
        <v>2868</v>
      </c>
      <c r="B59" s="3" t="s">
        <v>3000</v>
      </c>
      <c r="C59" t="s">
        <v>163</v>
      </c>
      <c r="D59"/>
      <c r="F59">
        <f t="shared" si="0"/>
        <v>0</v>
      </c>
      <c r="G59">
        <f t="shared" si="0"/>
        <v>0</v>
      </c>
    </row>
    <row r="60" spans="1:7" ht="64" x14ac:dyDescent="0.2">
      <c r="A60" s="3" t="s">
        <v>2869</v>
      </c>
      <c r="B60" s="3" t="s">
        <v>3001</v>
      </c>
      <c r="C60" t="s">
        <v>2932</v>
      </c>
      <c r="D60"/>
      <c r="F60">
        <f t="shared" si="0"/>
        <v>0</v>
      </c>
      <c r="G60">
        <f t="shared" si="0"/>
        <v>0</v>
      </c>
    </row>
    <row r="61" spans="1:7" ht="64" x14ac:dyDescent="0.2">
      <c r="A61" s="3" t="s">
        <v>2870</v>
      </c>
      <c r="B61" s="3" t="s">
        <v>3002</v>
      </c>
      <c r="C61" t="s">
        <v>2933</v>
      </c>
      <c r="D61"/>
      <c r="F61">
        <f t="shared" si="0"/>
        <v>0</v>
      </c>
      <c r="G61">
        <f t="shared" si="0"/>
        <v>0</v>
      </c>
    </row>
    <row r="62" spans="1:7" ht="64" x14ac:dyDescent="0.2">
      <c r="A62" s="3" t="s">
        <v>2871</v>
      </c>
      <c r="B62" s="3" t="s">
        <v>3003</v>
      </c>
      <c r="C62" t="s">
        <v>2934</v>
      </c>
      <c r="D62"/>
      <c r="F62">
        <f t="shared" si="0"/>
        <v>0</v>
      </c>
      <c r="G62">
        <f t="shared" si="0"/>
        <v>0</v>
      </c>
    </row>
    <row r="63" spans="1:7" ht="48" x14ac:dyDescent="0.2">
      <c r="A63" s="3" t="s">
        <v>2872</v>
      </c>
      <c r="B63" s="3" t="s">
        <v>3004</v>
      </c>
      <c r="C63" t="s">
        <v>277</v>
      </c>
      <c r="D63"/>
      <c r="F63">
        <f t="shared" si="0"/>
        <v>0</v>
      </c>
      <c r="G63">
        <f t="shared" si="0"/>
        <v>0</v>
      </c>
    </row>
    <row r="64" spans="1:7" ht="80" x14ac:dyDescent="0.2">
      <c r="A64" s="3" t="s">
        <v>2873</v>
      </c>
      <c r="B64" s="3" t="s">
        <v>3005</v>
      </c>
      <c r="C64" t="s">
        <v>75</v>
      </c>
      <c r="D64"/>
      <c r="F64">
        <f t="shared" si="0"/>
        <v>0</v>
      </c>
      <c r="G64">
        <f t="shared" si="0"/>
        <v>0</v>
      </c>
    </row>
    <row r="65" spans="1:7" ht="64" x14ac:dyDescent="0.2">
      <c r="A65" s="3" t="s">
        <v>2874</v>
      </c>
      <c r="B65" s="3" t="s">
        <v>3006</v>
      </c>
      <c r="C65" t="s">
        <v>30</v>
      </c>
      <c r="D65"/>
      <c r="F65">
        <f t="shared" si="0"/>
        <v>0</v>
      </c>
      <c r="G65">
        <f t="shared" si="0"/>
        <v>0</v>
      </c>
    </row>
    <row r="66" spans="1:7" ht="64" x14ac:dyDescent="0.2">
      <c r="A66" s="3" t="s">
        <v>2875</v>
      </c>
      <c r="B66" s="3" t="s">
        <v>3007</v>
      </c>
      <c r="C66" t="s">
        <v>2919</v>
      </c>
      <c r="D66"/>
      <c r="F66">
        <f t="shared" si="0"/>
        <v>0</v>
      </c>
      <c r="G66">
        <f t="shared" si="0"/>
        <v>0</v>
      </c>
    </row>
    <row r="67" spans="1:7" ht="64" x14ac:dyDescent="0.2">
      <c r="A67" s="3" t="s">
        <v>2876</v>
      </c>
      <c r="B67" s="3" t="s">
        <v>3008</v>
      </c>
      <c r="C67" t="s">
        <v>9</v>
      </c>
      <c r="D67"/>
      <c r="F67">
        <f t="shared" ref="F67:G101" si="1">IF(D67="",0,1)</f>
        <v>0</v>
      </c>
      <c r="G67">
        <f t="shared" si="1"/>
        <v>0</v>
      </c>
    </row>
    <row r="68" spans="1:7" ht="64" x14ac:dyDescent="0.2">
      <c r="A68" s="3" t="s">
        <v>2877</v>
      </c>
      <c r="B68" s="3" t="s">
        <v>3009</v>
      </c>
      <c r="C68" t="s">
        <v>80</v>
      </c>
      <c r="D68"/>
      <c r="F68">
        <f t="shared" si="1"/>
        <v>0</v>
      </c>
      <c r="G68">
        <f t="shared" si="1"/>
        <v>0</v>
      </c>
    </row>
    <row r="69" spans="1:7" ht="80" x14ac:dyDescent="0.2">
      <c r="A69" s="3" t="s">
        <v>2878</v>
      </c>
      <c r="B69" s="3" t="s">
        <v>3010</v>
      </c>
      <c r="C69" t="s">
        <v>22</v>
      </c>
      <c r="D69"/>
      <c r="E69" t="s">
        <v>119</v>
      </c>
      <c r="F69">
        <f t="shared" si="1"/>
        <v>0</v>
      </c>
      <c r="G69">
        <f t="shared" si="1"/>
        <v>1</v>
      </c>
    </row>
    <row r="70" spans="1:7" ht="64" x14ac:dyDescent="0.2">
      <c r="A70" s="3" t="s">
        <v>2879</v>
      </c>
      <c r="B70" s="3" t="s">
        <v>3011</v>
      </c>
      <c r="C70" t="s">
        <v>1862</v>
      </c>
      <c r="D70"/>
      <c r="F70">
        <f t="shared" si="1"/>
        <v>0</v>
      </c>
      <c r="G70">
        <f t="shared" si="1"/>
        <v>0</v>
      </c>
    </row>
    <row r="71" spans="1:7" ht="96" x14ac:dyDescent="0.2">
      <c r="A71" s="3" t="s">
        <v>2880</v>
      </c>
      <c r="B71" s="3" t="s">
        <v>3012</v>
      </c>
      <c r="C71" t="s">
        <v>204</v>
      </c>
      <c r="D71"/>
      <c r="F71">
        <f t="shared" si="1"/>
        <v>0</v>
      </c>
      <c r="G71">
        <f t="shared" si="1"/>
        <v>0</v>
      </c>
    </row>
    <row r="72" spans="1:7" ht="80" x14ac:dyDescent="0.2">
      <c r="A72" s="3" t="s">
        <v>2881</v>
      </c>
      <c r="B72" s="3" t="s">
        <v>3013</v>
      </c>
      <c r="C72" t="s">
        <v>70</v>
      </c>
      <c r="D72"/>
      <c r="F72">
        <f t="shared" si="1"/>
        <v>0</v>
      </c>
      <c r="G72">
        <f t="shared" si="1"/>
        <v>0</v>
      </c>
    </row>
    <row r="73" spans="1:7" ht="64" x14ac:dyDescent="0.2">
      <c r="A73" s="3" t="s">
        <v>2882</v>
      </c>
      <c r="B73" s="3" t="s">
        <v>3014</v>
      </c>
      <c r="C73" t="s">
        <v>80</v>
      </c>
      <c r="D73"/>
      <c r="F73">
        <f t="shared" si="1"/>
        <v>0</v>
      </c>
      <c r="G73">
        <f t="shared" si="1"/>
        <v>0</v>
      </c>
    </row>
    <row r="74" spans="1:7" ht="48" x14ac:dyDescent="0.2">
      <c r="A74" s="3" t="s">
        <v>2883</v>
      </c>
      <c r="B74" s="3" t="s">
        <v>3015</v>
      </c>
      <c r="C74" t="s">
        <v>187</v>
      </c>
      <c r="D74"/>
      <c r="F74">
        <f t="shared" si="1"/>
        <v>0</v>
      </c>
      <c r="G74">
        <f t="shared" si="1"/>
        <v>0</v>
      </c>
    </row>
    <row r="75" spans="1:7" ht="64" x14ac:dyDescent="0.2">
      <c r="A75" s="3" t="s">
        <v>2884</v>
      </c>
      <c r="B75" s="3" t="s">
        <v>3016</v>
      </c>
      <c r="C75" t="s">
        <v>2096</v>
      </c>
      <c r="D75"/>
      <c r="F75">
        <f t="shared" si="1"/>
        <v>0</v>
      </c>
      <c r="G75">
        <f t="shared" si="1"/>
        <v>0</v>
      </c>
    </row>
    <row r="76" spans="1:7" ht="64" x14ac:dyDescent="0.2">
      <c r="A76" s="3" t="s">
        <v>2885</v>
      </c>
      <c r="B76" s="3" t="s">
        <v>3017</v>
      </c>
      <c r="C76" t="s">
        <v>36</v>
      </c>
      <c r="D76"/>
      <c r="F76">
        <f t="shared" si="1"/>
        <v>0</v>
      </c>
      <c r="G76">
        <f t="shared" si="1"/>
        <v>0</v>
      </c>
    </row>
    <row r="77" spans="1:7" ht="64" x14ac:dyDescent="0.2">
      <c r="A77" s="3" t="s">
        <v>2886</v>
      </c>
      <c r="B77" s="3" t="s">
        <v>3018</v>
      </c>
      <c r="C77" t="s">
        <v>2935</v>
      </c>
      <c r="D77"/>
      <c r="F77">
        <f t="shared" si="1"/>
        <v>0</v>
      </c>
      <c r="G77">
        <f t="shared" si="1"/>
        <v>0</v>
      </c>
    </row>
    <row r="78" spans="1:7" ht="64" x14ac:dyDescent="0.2">
      <c r="A78" s="3" t="s">
        <v>2887</v>
      </c>
      <c r="B78" s="3" t="s">
        <v>3019</v>
      </c>
      <c r="C78" t="s">
        <v>18</v>
      </c>
      <c r="D78"/>
      <c r="F78">
        <f t="shared" si="1"/>
        <v>0</v>
      </c>
      <c r="G78">
        <f t="shared" si="1"/>
        <v>0</v>
      </c>
    </row>
    <row r="79" spans="1:7" ht="64" x14ac:dyDescent="0.2">
      <c r="A79" s="3" t="s">
        <v>2888</v>
      </c>
      <c r="B79" s="3" t="s">
        <v>3020</v>
      </c>
      <c r="C79" t="s">
        <v>37</v>
      </c>
      <c r="D79"/>
      <c r="F79">
        <f t="shared" si="1"/>
        <v>0</v>
      </c>
      <c r="G79">
        <f t="shared" si="1"/>
        <v>0</v>
      </c>
    </row>
    <row r="80" spans="1:7" ht="32" x14ac:dyDescent="0.2">
      <c r="A80" s="3" t="s">
        <v>2889</v>
      </c>
      <c r="B80" s="3" t="s">
        <v>3021</v>
      </c>
      <c r="C80" t="s">
        <v>42</v>
      </c>
      <c r="D80"/>
      <c r="F80">
        <f t="shared" si="1"/>
        <v>0</v>
      </c>
      <c r="G80">
        <f t="shared" si="1"/>
        <v>0</v>
      </c>
    </row>
    <row r="81" spans="1:7" ht="64" x14ac:dyDescent="0.2">
      <c r="A81" s="3" t="s">
        <v>2890</v>
      </c>
      <c r="B81" s="3" t="s">
        <v>3022</v>
      </c>
      <c r="C81" t="s">
        <v>2936</v>
      </c>
      <c r="D81"/>
      <c r="F81">
        <f t="shared" si="1"/>
        <v>0</v>
      </c>
      <c r="G81">
        <f t="shared" si="1"/>
        <v>0</v>
      </c>
    </row>
    <row r="82" spans="1:7" ht="48" x14ac:dyDescent="0.2">
      <c r="A82" s="3" t="s">
        <v>2891</v>
      </c>
      <c r="B82" s="3" t="s">
        <v>3023</v>
      </c>
      <c r="C82" t="s">
        <v>2937</v>
      </c>
      <c r="D82"/>
      <c r="F82">
        <f t="shared" si="1"/>
        <v>0</v>
      </c>
      <c r="G82">
        <f t="shared" si="1"/>
        <v>0</v>
      </c>
    </row>
    <row r="83" spans="1:7" ht="64" x14ac:dyDescent="0.2">
      <c r="A83" s="3" t="s">
        <v>2892</v>
      </c>
      <c r="B83" s="3" t="s">
        <v>3041</v>
      </c>
      <c r="C83" t="s">
        <v>18</v>
      </c>
      <c r="D83"/>
      <c r="F83">
        <f t="shared" si="1"/>
        <v>0</v>
      </c>
      <c r="G83">
        <f t="shared" si="1"/>
        <v>0</v>
      </c>
    </row>
    <row r="84" spans="1:7" ht="80" x14ac:dyDescent="0.2">
      <c r="A84" s="3" t="s">
        <v>2893</v>
      </c>
      <c r="B84" s="3" t="s">
        <v>3040</v>
      </c>
      <c r="C84" t="s">
        <v>669</v>
      </c>
      <c r="D84"/>
      <c r="F84">
        <f t="shared" si="1"/>
        <v>0</v>
      </c>
      <c r="G84">
        <f t="shared" si="1"/>
        <v>0</v>
      </c>
    </row>
    <row r="85" spans="1:7" ht="64" x14ac:dyDescent="0.2">
      <c r="A85" s="3" t="s">
        <v>2894</v>
      </c>
      <c r="B85" s="3" t="s">
        <v>3024</v>
      </c>
      <c r="C85" t="s">
        <v>666</v>
      </c>
      <c r="D85"/>
      <c r="E85" t="s">
        <v>86</v>
      </c>
      <c r="F85">
        <f t="shared" si="1"/>
        <v>0</v>
      </c>
      <c r="G85">
        <f t="shared" si="1"/>
        <v>1</v>
      </c>
    </row>
    <row r="86" spans="1:7" ht="64" x14ac:dyDescent="0.2">
      <c r="A86" s="3" t="s">
        <v>2895</v>
      </c>
      <c r="B86" s="3" t="s">
        <v>3025</v>
      </c>
      <c r="C86" t="s">
        <v>2938</v>
      </c>
      <c r="D86"/>
      <c r="F86">
        <f t="shared" si="1"/>
        <v>0</v>
      </c>
      <c r="G86">
        <f t="shared" si="1"/>
        <v>0</v>
      </c>
    </row>
    <row r="87" spans="1:7" ht="64" x14ac:dyDescent="0.2">
      <c r="A87" s="3" t="s">
        <v>2896</v>
      </c>
      <c r="B87" s="3" t="s">
        <v>3026</v>
      </c>
      <c r="C87" t="s">
        <v>84</v>
      </c>
      <c r="D87"/>
      <c r="F87">
        <f t="shared" si="1"/>
        <v>0</v>
      </c>
      <c r="G87">
        <f t="shared" si="1"/>
        <v>0</v>
      </c>
    </row>
    <row r="88" spans="1:7" ht="64" x14ac:dyDescent="0.2">
      <c r="A88" s="3" t="s">
        <v>2897</v>
      </c>
      <c r="B88" s="3" t="s">
        <v>3027</v>
      </c>
      <c r="C88" t="s">
        <v>2097</v>
      </c>
      <c r="D88"/>
      <c r="F88">
        <f t="shared" si="1"/>
        <v>0</v>
      </c>
      <c r="G88">
        <f t="shared" si="1"/>
        <v>0</v>
      </c>
    </row>
    <row r="89" spans="1:7" ht="64" x14ac:dyDescent="0.2">
      <c r="A89" s="3" t="s">
        <v>2898</v>
      </c>
      <c r="B89" s="3" t="s">
        <v>3028</v>
      </c>
      <c r="C89" t="s">
        <v>72</v>
      </c>
      <c r="D89"/>
      <c r="F89">
        <f t="shared" si="1"/>
        <v>0</v>
      </c>
      <c r="G89">
        <f t="shared" si="1"/>
        <v>0</v>
      </c>
    </row>
    <row r="90" spans="1:7" ht="64" x14ac:dyDescent="0.2">
      <c r="A90" s="3" t="s">
        <v>2899</v>
      </c>
      <c r="B90" s="3" t="s">
        <v>3042</v>
      </c>
      <c r="C90" t="s">
        <v>27</v>
      </c>
      <c r="D90"/>
      <c r="F90">
        <f t="shared" si="1"/>
        <v>0</v>
      </c>
      <c r="G90">
        <f t="shared" si="1"/>
        <v>0</v>
      </c>
    </row>
    <row r="91" spans="1:7" ht="96" x14ac:dyDescent="0.2">
      <c r="A91" s="3" t="s">
        <v>2900</v>
      </c>
      <c r="B91" s="3" t="s">
        <v>3029</v>
      </c>
      <c r="C91" t="s">
        <v>2939</v>
      </c>
      <c r="D91"/>
      <c r="F91">
        <f t="shared" si="1"/>
        <v>0</v>
      </c>
      <c r="G91">
        <f t="shared" si="1"/>
        <v>0</v>
      </c>
    </row>
    <row r="92" spans="1:7" ht="64" x14ac:dyDescent="0.2">
      <c r="A92" s="3" t="s">
        <v>2901</v>
      </c>
      <c r="B92" s="3" t="s">
        <v>3030</v>
      </c>
      <c r="C92" t="s">
        <v>676</v>
      </c>
      <c r="D92"/>
      <c r="F92">
        <f t="shared" si="1"/>
        <v>0</v>
      </c>
      <c r="G92">
        <f t="shared" si="1"/>
        <v>0</v>
      </c>
    </row>
    <row r="93" spans="1:7" ht="48" x14ac:dyDescent="0.2">
      <c r="A93" s="3" t="s">
        <v>2902</v>
      </c>
      <c r="B93" s="3" t="s">
        <v>3031</v>
      </c>
      <c r="C93" t="s">
        <v>125</v>
      </c>
      <c r="D93"/>
      <c r="F93">
        <f t="shared" si="1"/>
        <v>0</v>
      </c>
      <c r="G93">
        <f t="shared" si="1"/>
        <v>0</v>
      </c>
    </row>
    <row r="94" spans="1:7" ht="64" x14ac:dyDescent="0.2">
      <c r="A94" s="3" t="s">
        <v>2903</v>
      </c>
      <c r="B94" s="3" t="s">
        <v>3032</v>
      </c>
      <c r="C94" t="s">
        <v>2940</v>
      </c>
      <c r="D94"/>
      <c r="F94">
        <f t="shared" si="1"/>
        <v>0</v>
      </c>
      <c r="G94">
        <f t="shared" si="1"/>
        <v>0</v>
      </c>
    </row>
    <row r="95" spans="1:7" ht="64" x14ac:dyDescent="0.2">
      <c r="A95" s="3" t="s">
        <v>2904</v>
      </c>
      <c r="B95" s="3" t="s">
        <v>3033</v>
      </c>
      <c r="C95" t="s">
        <v>2941</v>
      </c>
      <c r="D95"/>
      <c r="F95">
        <f t="shared" si="1"/>
        <v>0</v>
      </c>
      <c r="G95">
        <f t="shared" si="1"/>
        <v>0</v>
      </c>
    </row>
    <row r="96" spans="1:7" ht="64" x14ac:dyDescent="0.2">
      <c r="A96" s="3" t="s">
        <v>2905</v>
      </c>
      <c r="B96" s="3" t="s">
        <v>3034</v>
      </c>
      <c r="C96" t="s">
        <v>2942</v>
      </c>
      <c r="D96"/>
      <c r="F96">
        <f t="shared" si="1"/>
        <v>0</v>
      </c>
      <c r="G96">
        <f t="shared" si="1"/>
        <v>0</v>
      </c>
    </row>
    <row r="97" spans="1:7" ht="64" x14ac:dyDescent="0.2">
      <c r="A97" s="3" t="s">
        <v>2906</v>
      </c>
      <c r="B97" s="7" t="s">
        <v>3035</v>
      </c>
      <c r="C97" t="s">
        <v>27</v>
      </c>
      <c r="D97"/>
      <c r="F97">
        <f t="shared" si="1"/>
        <v>0</v>
      </c>
      <c r="G97">
        <f t="shared" si="1"/>
        <v>0</v>
      </c>
    </row>
    <row r="98" spans="1:7" ht="64" x14ac:dyDescent="0.2">
      <c r="A98" s="3" t="s">
        <v>2907</v>
      </c>
      <c r="B98" s="7" t="s">
        <v>3036</v>
      </c>
      <c r="C98" t="s">
        <v>2943</v>
      </c>
      <c r="D98" t="s">
        <v>3043</v>
      </c>
      <c r="F98">
        <f t="shared" si="1"/>
        <v>1</v>
      </c>
      <c r="G98">
        <f t="shared" si="1"/>
        <v>0</v>
      </c>
    </row>
    <row r="99" spans="1:7" ht="80" x14ac:dyDescent="0.2">
      <c r="A99" s="3" t="s">
        <v>2908</v>
      </c>
      <c r="B99" s="7" t="s">
        <v>3037</v>
      </c>
      <c r="C99" t="s">
        <v>137</v>
      </c>
      <c r="D99"/>
      <c r="E99" t="s">
        <v>85</v>
      </c>
      <c r="F99">
        <f t="shared" si="1"/>
        <v>0</v>
      </c>
      <c r="G99">
        <f t="shared" si="1"/>
        <v>1</v>
      </c>
    </row>
    <row r="100" spans="1:7" ht="64" x14ac:dyDescent="0.2">
      <c r="A100" s="3" t="s">
        <v>2909</v>
      </c>
      <c r="B100" s="7" t="s">
        <v>3038</v>
      </c>
      <c r="C100" t="s">
        <v>2944</v>
      </c>
      <c r="D100"/>
      <c r="F100">
        <f t="shared" si="1"/>
        <v>0</v>
      </c>
      <c r="G100">
        <f t="shared" si="1"/>
        <v>0</v>
      </c>
    </row>
    <row r="101" spans="1:7" ht="80" x14ac:dyDescent="0.2">
      <c r="A101" s="3" t="s">
        <v>2910</v>
      </c>
      <c r="B101" s="7" t="s">
        <v>3039</v>
      </c>
      <c r="C101" t="s">
        <v>164</v>
      </c>
      <c r="D101"/>
      <c r="E101" t="s">
        <v>249</v>
      </c>
      <c r="F101">
        <f t="shared" si="1"/>
        <v>0</v>
      </c>
      <c r="G101">
        <f t="shared" si="1"/>
        <v>1</v>
      </c>
    </row>
    <row r="103" spans="1:7" x14ac:dyDescent="0.2">
      <c r="F103" s="10">
        <f>SUM(F2:F101)</f>
        <v>1</v>
      </c>
      <c r="G103" s="10">
        <f>SUM(G2:G101)</f>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2AA3-EFFC-D441-B570-6EADFF4E7D6D}">
  <dimension ref="A1:G103"/>
  <sheetViews>
    <sheetView topLeftCell="A90" zoomScale="160" zoomScaleNormal="160" workbookViewId="0">
      <selection activeCell="E90" sqref="E90"/>
    </sheetView>
  </sheetViews>
  <sheetFormatPr baseColWidth="10" defaultRowHeight="15" x14ac:dyDescent="0.2"/>
  <cols>
    <col min="1" max="1" width="32" style="3" customWidth="1"/>
    <col min="2" max="2" width="56.1640625" style="7" customWidth="1"/>
    <col min="3" max="3" width="8.83203125"/>
    <col min="4" max="4" width="15.1640625" style="9" customWidth="1"/>
    <col min="5" max="5" width="13.33203125" customWidth="1"/>
  </cols>
  <sheetData>
    <row r="1" spans="1:7" ht="16" x14ac:dyDescent="0.2">
      <c r="A1" s="2" t="s">
        <v>0</v>
      </c>
      <c r="B1" s="6" t="s">
        <v>101</v>
      </c>
      <c r="C1" s="1" t="s">
        <v>1</v>
      </c>
      <c r="D1" s="8" t="s">
        <v>44</v>
      </c>
      <c r="E1" s="1" t="s">
        <v>45</v>
      </c>
      <c r="F1" s="1" t="s">
        <v>44</v>
      </c>
      <c r="G1" s="1" t="s">
        <v>45</v>
      </c>
    </row>
    <row r="2" spans="1:7" ht="48" x14ac:dyDescent="0.2">
      <c r="A2" s="3" t="s">
        <v>3044</v>
      </c>
      <c r="B2" s="3" t="s">
        <v>3163</v>
      </c>
      <c r="C2" t="s">
        <v>247</v>
      </c>
      <c r="D2"/>
      <c r="F2">
        <f>IF(D2="",0,1)</f>
        <v>0</v>
      </c>
      <c r="G2">
        <f>IF(E2="",0,1)</f>
        <v>0</v>
      </c>
    </row>
    <row r="3" spans="1:7" ht="32" x14ac:dyDescent="0.2">
      <c r="A3" s="3" t="s">
        <v>3045</v>
      </c>
      <c r="B3" s="3" t="s">
        <v>3164</v>
      </c>
      <c r="C3" t="s">
        <v>5</v>
      </c>
      <c r="D3"/>
      <c r="F3">
        <f t="shared" ref="F3:G66" si="0">IF(D3="",0,1)</f>
        <v>0</v>
      </c>
      <c r="G3">
        <f t="shared" si="0"/>
        <v>0</v>
      </c>
    </row>
    <row r="4" spans="1:7" ht="32" x14ac:dyDescent="0.2">
      <c r="A4" s="3" t="s">
        <v>3046</v>
      </c>
      <c r="B4" s="3" t="s">
        <v>3165</v>
      </c>
      <c r="C4" t="s">
        <v>291</v>
      </c>
      <c r="D4"/>
      <c r="F4">
        <f t="shared" si="0"/>
        <v>0</v>
      </c>
      <c r="G4">
        <f t="shared" si="0"/>
        <v>0</v>
      </c>
    </row>
    <row r="5" spans="1:7" ht="32" x14ac:dyDescent="0.2">
      <c r="A5" s="3" t="s">
        <v>3047</v>
      </c>
      <c r="B5" s="3" t="s">
        <v>3166</v>
      </c>
      <c r="C5" t="s">
        <v>140</v>
      </c>
      <c r="D5"/>
      <c r="F5">
        <f t="shared" si="0"/>
        <v>0</v>
      </c>
      <c r="G5">
        <f t="shared" si="0"/>
        <v>0</v>
      </c>
    </row>
    <row r="6" spans="1:7" ht="32" x14ac:dyDescent="0.2">
      <c r="A6" s="3" t="s">
        <v>3048</v>
      </c>
      <c r="B6" s="3" t="s">
        <v>3167</v>
      </c>
      <c r="C6" t="s">
        <v>2284</v>
      </c>
      <c r="D6"/>
      <c r="F6">
        <f t="shared" si="0"/>
        <v>0</v>
      </c>
      <c r="G6">
        <f t="shared" si="0"/>
        <v>0</v>
      </c>
    </row>
    <row r="7" spans="1:7" ht="64" x14ac:dyDescent="0.2">
      <c r="A7" s="3" t="s">
        <v>3049</v>
      </c>
      <c r="B7" s="3" t="s">
        <v>3168</v>
      </c>
      <c r="C7" t="s">
        <v>5</v>
      </c>
      <c r="D7"/>
      <c r="F7">
        <f t="shared" si="0"/>
        <v>0</v>
      </c>
      <c r="G7">
        <f t="shared" si="0"/>
        <v>0</v>
      </c>
    </row>
    <row r="8" spans="1:7" ht="32" x14ac:dyDescent="0.2">
      <c r="A8" s="3" t="s">
        <v>3050</v>
      </c>
      <c r="B8" s="3" t="s">
        <v>3169</v>
      </c>
      <c r="C8" t="s">
        <v>10</v>
      </c>
      <c r="D8"/>
      <c r="F8">
        <f t="shared" si="0"/>
        <v>0</v>
      </c>
      <c r="G8">
        <f t="shared" si="0"/>
        <v>0</v>
      </c>
    </row>
    <row r="9" spans="1:7" ht="32" x14ac:dyDescent="0.2">
      <c r="A9" s="3" t="s">
        <v>3051</v>
      </c>
      <c r="B9" s="3" t="s">
        <v>3170</v>
      </c>
      <c r="C9" t="s">
        <v>193</v>
      </c>
      <c r="D9"/>
      <c r="F9">
        <f t="shared" si="0"/>
        <v>0</v>
      </c>
      <c r="G9">
        <f t="shared" si="0"/>
        <v>0</v>
      </c>
    </row>
    <row r="10" spans="1:7" ht="64" x14ac:dyDescent="0.2">
      <c r="A10" s="3" t="s">
        <v>3052</v>
      </c>
      <c r="B10" s="3" t="s">
        <v>3171</v>
      </c>
      <c r="C10" t="s">
        <v>2690</v>
      </c>
      <c r="D10" t="s">
        <v>195</v>
      </c>
      <c r="F10">
        <f t="shared" si="0"/>
        <v>1</v>
      </c>
      <c r="G10">
        <f t="shared" si="0"/>
        <v>0</v>
      </c>
    </row>
    <row r="11" spans="1:7" ht="32" x14ac:dyDescent="0.2">
      <c r="A11" s="3" t="s">
        <v>3053</v>
      </c>
      <c r="B11" s="3" t="s">
        <v>3172</v>
      </c>
      <c r="C11" t="s">
        <v>79</v>
      </c>
      <c r="D11"/>
      <c r="F11">
        <f t="shared" si="0"/>
        <v>0</v>
      </c>
      <c r="G11">
        <f t="shared" si="0"/>
        <v>0</v>
      </c>
    </row>
    <row r="12" spans="1:7" ht="32" x14ac:dyDescent="0.2">
      <c r="A12" s="3" t="s">
        <v>3054</v>
      </c>
      <c r="B12" s="3" t="s">
        <v>3173</v>
      </c>
      <c r="C12" t="s">
        <v>193</v>
      </c>
      <c r="D12"/>
      <c r="F12">
        <f t="shared" si="0"/>
        <v>0</v>
      </c>
      <c r="G12">
        <f t="shared" si="0"/>
        <v>0</v>
      </c>
    </row>
    <row r="13" spans="1:7" ht="32" x14ac:dyDescent="0.2">
      <c r="A13" s="3" t="s">
        <v>3055</v>
      </c>
      <c r="B13" s="3" t="s">
        <v>3174</v>
      </c>
      <c r="C13" t="s">
        <v>36</v>
      </c>
      <c r="D13"/>
      <c r="F13">
        <f t="shared" si="0"/>
        <v>0</v>
      </c>
      <c r="G13">
        <f t="shared" si="0"/>
        <v>0</v>
      </c>
    </row>
    <row r="14" spans="1:7" ht="32" x14ac:dyDescent="0.2">
      <c r="A14" s="3" t="s">
        <v>3056</v>
      </c>
      <c r="B14" s="3" t="s">
        <v>3175</v>
      </c>
      <c r="C14" t="s">
        <v>5</v>
      </c>
      <c r="D14"/>
      <c r="F14">
        <f t="shared" si="0"/>
        <v>0</v>
      </c>
      <c r="G14">
        <f t="shared" si="0"/>
        <v>0</v>
      </c>
    </row>
    <row r="15" spans="1:7" ht="32" x14ac:dyDescent="0.2">
      <c r="A15" s="3" t="s">
        <v>3057</v>
      </c>
      <c r="B15" s="3" t="s">
        <v>3176</v>
      </c>
      <c r="C15" t="s">
        <v>30</v>
      </c>
      <c r="D15"/>
      <c r="F15">
        <f t="shared" si="0"/>
        <v>0</v>
      </c>
      <c r="G15">
        <f t="shared" si="0"/>
        <v>0</v>
      </c>
    </row>
    <row r="16" spans="1:7" ht="48" x14ac:dyDescent="0.2">
      <c r="A16" s="3" t="s">
        <v>3058</v>
      </c>
      <c r="B16" s="3" t="s">
        <v>3177</v>
      </c>
      <c r="C16" t="s">
        <v>2675</v>
      </c>
      <c r="D16"/>
      <c r="F16">
        <f t="shared" si="0"/>
        <v>0</v>
      </c>
      <c r="G16">
        <f t="shared" si="0"/>
        <v>0</v>
      </c>
    </row>
    <row r="17" spans="1:7" ht="32" x14ac:dyDescent="0.2">
      <c r="A17" s="3" t="s">
        <v>3059</v>
      </c>
      <c r="B17" s="3" t="s">
        <v>3178</v>
      </c>
      <c r="C17" t="s">
        <v>17</v>
      </c>
      <c r="D17"/>
      <c r="F17">
        <f t="shared" si="0"/>
        <v>0</v>
      </c>
      <c r="G17">
        <f t="shared" si="0"/>
        <v>0</v>
      </c>
    </row>
    <row r="18" spans="1:7" ht="32" x14ac:dyDescent="0.2">
      <c r="A18" s="3" t="s">
        <v>3060</v>
      </c>
      <c r="B18" s="3" t="s">
        <v>3179</v>
      </c>
      <c r="C18" t="s">
        <v>247</v>
      </c>
      <c r="D18"/>
      <c r="F18">
        <f t="shared" si="0"/>
        <v>0</v>
      </c>
      <c r="G18">
        <f t="shared" si="0"/>
        <v>0</v>
      </c>
    </row>
    <row r="19" spans="1:7" ht="32" x14ac:dyDescent="0.2">
      <c r="A19" s="3" t="s">
        <v>3061</v>
      </c>
      <c r="B19" s="3" t="s">
        <v>3180</v>
      </c>
      <c r="C19" t="s">
        <v>6</v>
      </c>
      <c r="D19"/>
      <c r="F19">
        <f t="shared" si="0"/>
        <v>0</v>
      </c>
      <c r="G19">
        <f t="shared" si="0"/>
        <v>0</v>
      </c>
    </row>
    <row r="20" spans="1:7" ht="32" x14ac:dyDescent="0.2">
      <c r="A20" s="3" t="s">
        <v>3062</v>
      </c>
      <c r="B20" s="3" t="s">
        <v>3181</v>
      </c>
      <c r="C20" t="s">
        <v>3144</v>
      </c>
      <c r="D20"/>
      <c r="F20">
        <f t="shared" si="0"/>
        <v>0</v>
      </c>
      <c r="G20">
        <f t="shared" si="0"/>
        <v>0</v>
      </c>
    </row>
    <row r="21" spans="1:7" ht="32" x14ac:dyDescent="0.2">
      <c r="A21" s="3" t="s">
        <v>3063</v>
      </c>
      <c r="B21" s="3" t="s">
        <v>3182</v>
      </c>
      <c r="C21" t="s">
        <v>3145</v>
      </c>
      <c r="D21"/>
      <c r="F21">
        <f t="shared" si="0"/>
        <v>0</v>
      </c>
      <c r="G21">
        <f t="shared" si="0"/>
        <v>0</v>
      </c>
    </row>
    <row r="22" spans="1:7" ht="32" x14ac:dyDescent="0.2">
      <c r="A22" s="3" t="s">
        <v>3064</v>
      </c>
      <c r="B22" s="3" t="s">
        <v>3183</v>
      </c>
      <c r="C22" t="s">
        <v>10</v>
      </c>
      <c r="D22"/>
      <c r="F22">
        <f t="shared" si="0"/>
        <v>0</v>
      </c>
      <c r="G22">
        <f t="shared" si="0"/>
        <v>0</v>
      </c>
    </row>
    <row r="23" spans="1:7" ht="32" x14ac:dyDescent="0.2">
      <c r="A23" s="3" t="s">
        <v>3065</v>
      </c>
      <c r="B23" s="3" t="s">
        <v>3184</v>
      </c>
      <c r="C23" t="s">
        <v>127</v>
      </c>
      <c r="D23"/>
      <c r="F23">
        <f t="shared" si="0"/>
        <v>0</v>
      </c>
      <c r="G23">
        <f t="shared" si="0"/>
        <v>0</v>
      </c>
    </row>
    <row r="24" spans="1:7" ht="32" x14ac:dyDescent="0.2">
      <c r="A24" s="3" t="s">
        <v>3066</v>
      </c>
      <c r="B24" s="3" t="s">
        <v>3185</v>
      </c>
      <c r="C24" t="s">
        <v>77</v>
      </c>
      <c r="D24"/>
      <c r="F24">
        <f t="shared" si="0"/>
        <v>0</v>
      </c>
      <c r="G24">
        <f t="shared" si="0"/>
        <v>0</v>
      </c>
    </row>
    <row r="25" spans="1:7" ht="32" x14ac:dyDescent="0.2">
      <c r="A25" s="3" t="s">
        <v>3067</v>
      </c>
      <c r="B25" s="3" t="s">
        <v>3186</v>
      </c>
      <c r="C25" t="s">
        <v>1394</v>
      </c>
      <c r="D25"/>
      <c r="F25">
        <f t="shared" si="0"/>
        <v>0</v>
      </c>
      <c r="G25">
        <f t="shared" si="0"/>
        <v>0</v>
      </c>
    </row>
    <row r="26" spans="1:7" ht="32" x14ac:dyDescent="0.2">
      <c r="A26" s="3" t="s">
        <v>3068</v>
      </c>
      <c r="B26" s="3" t="s">
        <v>3187</v>
      </c>
      <c r="C26" t="s">
        <v>685</v>
      </c>
      <c r="D26"/>
      <c r="F26">
        <f t="shared" si="0"/>
        <v>0</v>
      </c>
      <c r="G26">
        <f t="shared" si="0"/>
        <v>0</v>
      </c>
    </row>
    <row r="27" spans="1:7" ht="32" x14ac:dyDescent="0.2">
      <c r="A27" s="3" t="s">
        <v>3069</v>
      </c>
      <c r="B27" s="3" t="s">
        <v>3188</v>
      </c>
      <c r="C27" t="s">
        <v>3146</v>
      </c>
      <c r="D27"/>
      <c r="F27">
        <f t="shared" si="0"/>
        <v>0</v>
      </c>
      <c r="G27">
        <f t="shared" si="0"/>
        <v>0</v>
      </c>
    </row>
    <row r="28" spans="1:7" ht="32" x14ac:dyDescent="0.2">
      <c r="A28" s="3" t="s">
        <v>3070</v>
      </c>
      <c r="B28" s="3" t="s">
        <v>3189</v>
      </c>
      <c r="C28" t="s">
        <v>184</v>
      </c>
      <c r="D28"/>
      <c r="F28">
        <f t="shared" si="0"/>
        <v>0</v>
      </c>
      <c r="G28">
        <f t="shared" si="0"/>
        <v>0</v>
      </c>
    </row>
    <row r="29" spans="1:7" ht="32" x14ac:dyDescent="0.2">
      <c r="A29" s="3" t="s">
        <v>3071</v>
      </c>
      <c r="B29" s="3" t="s">
        <v>3190</v>
      </c>
      <c r="C29" t="s">
        <v>2230</v>
      </c>
      <c r="D29"/>
      <c r="F29">
        <f t="shared" si="0"/>
        <v>0</v>
      </c>
      <c r="G29">
        <f t="shared" si="0"/>
        <v>0</v>
      </c>
    </row>
    <row r="30" spans="1:7" ht="32" x14ac:dyDescent="0.2">
      <c r="A30" s="3" t="s">
        <v>3072</v>
      </c>
      <c r="B30" s="3" t="s">
        <v>3191</v>
      </c>
      <c r="C30" t="s">
        <v>127</v>
      </c>
      <c r="D30"/>
      <c r="F30">
        <f t="shared" si="0"/>
        <v>0</v>
      </c>
      <c r="G30">
        <f t="shared" si="0"/>
        <v>0</v>
      </c>
    </row>
    <row r="31" spans="1:7" ht="32" x14ac:dyDescent="0.2">
      <c r="A31" s="3" t="s">
        <v>3073</v>
      </c>
      <c r="B31" s="3" t="s">
        <v>3192</v>
      </c>
      <c r="C31" t="s">
        <v>127</v>
      </c>
      <c r="D31"/>
      <c r="F31">
        <f t="shared" si="0"/>
        <v>0</v>
      </c>
      <c r="G31">
        <f t="shared" si="0"/>
        <v>0</v>
      </c>
    </row>
    <row r="32" spans="1:7" ht="32" x14ac:dyDescent="0.2">
      <c r="A32" s="3" t="s">
        <v>3074</v>
      </c>
      <c r="B32" s="3" t="s">
        <v>3193</v>
      </c>
      <c r="C32" t="s">
        <v>297</v>
      </c>
      <c r="D32"/>
      <c r="F32">
        <f t="shared" si="0"/>
        <v>0</v>
      </c>
      <c r="G32">
        <f t="shared" si="0"/>
        <v>0</v>
      </c>
    </row>
    <row r="33" spans="1:7" ht="32" x14ac:dyDescent="0.2">
      <c r="A33" s="3" t="s">
        <v>3075</v>
      </c>
      <c r="B33" s="3" t="s">
        <v>3194</v>
      </c>
      <c r="C33" t="s">
        <v>30</v>
      </c>
      <c r="D33"/>
      <c r="F33">
        <f t="shared" si="0"/>
        <v>0</v>
      </c>
      <c r="G33">
        <f t="shared" si="0"/>
        <v>0</v>
      </c>
    </row>
    <row r="34" spans="1:7" ht="48" x14ac:dyDescent="0.2">
      <c r="A34" s="3" t="s">
        <v>3076</v>
      </c>
      <c r="B34" s="3" t="s">
        <v>3195</v>
      </c>
      <c r="C34" t="s">
        <v>5</v>
      </c>
      <c r="D34"/>
      <c r="F34">
        <f t="shared" si="0"/>
        <v>0</v>
      </c>
      <c r="G34">
        <f t="shared" si="0"/>
        <v>0</v>
      </c>
    </row>
    <row r="35" spans="1:7" ht="48" x14ac:dyDescent="0.2">
      <c r="A35" s="3" t="s">
        <v>3077</v>
      </c>
      <c r="B35" s="3" t="s">
        <v>3196</v>
      </c>
      <c r="C35" t="s">
        <v>2230</v>
      </c>
      <c r="D35"/>
      <c r="F35">
        <f t="shared" si="0"/>
        <v>0</v>
      </c>
      <c r="G35">
        <f t="shared" si="0"/>
        <v>0</v>
      </c>
    </row>
    <row r="36" spans="1:7" ht="64" x14ac:dyDescent="0.2">
      <c r="A36" s="3" t="s">
        <v>3078</v>
      </c>
      <c r="B36" s="3" t="s">
        <v>3197</v>
      </c>
      <c r="C36" t="s">
        <v>98</v>
      </c>
      <c r="D36"/>
      <c r="F36">
        <f t="shared" si="0"/>
        <v>0</v>
      </c>
      <c r="G36">
        <f t="shared" si="0"/>
        <v>0</v>
      </c>
    </row>
    <row r="37" spans="1:7" ht="32" x14ac:dyDescent="0.2">
      <c r="A37" s="3" t="s">
        <v>3079</v>
      </c>
      <c r="B37" s="3" t="s">
        <v>3198</v>
      </c>
      <c r="C37" t="s">
        <v>10</v>
      </c>
      <c r="D37"/>
      <c r="F37">
        <f t="shared" si="0"/>
        <v>0</v>
      </c>
      <c r="G37">
        <f t="shared" si="0"/>
        <v>0</v>
      </c>
    </row>
    <row r="38" spans="1:7" ht="32" x14ac:dyDescent="0.2">
      <c r="A38" s="3" t="s">
        <v>3080</v>
      </c>
      <c r="B38" s="3" t="s">
        <v>3199</v>
      </c>
      <c r="C38" t="s">
        <v>3147</v>
      </c>
      <c r="D38"/>
      <c r="F38">
        <f t="shared" si="0"/>
        <v>0</v>
      </c>
      <c r="G38">
        <f t="shared" si="0"/>
        <v>0</v>
      </c>
    </row>
    <row r="39" spans="1:7" ht="32" x14ac:dyDescent="0.2">
      <c r="A39" s="3" t="s">
        <v>3081</v>
      </c>
      <c r="B39" s="3" t="s">
        <v>3200</v>
      </c>
      <c r="C39" t="s">
        <v>2230</v>
      </c>
      <c r="D39"/>
      <c r="F39">
        <f t="shared" si="0"/>
        <v>0</v>
      </c>
      <c r="G39">
        <f t="shared" si="0"/>
        <v>0</v>
      </c>
    </row>
    <row r="40" spans="1:7" ht="32" x14ac:dyDescent="0.2">
      <c r="A40" s="3" t="s">
        <v>3082</v>
      </c>
      <c r="B40" s="3" t="s">
        <v>3201</v>
      </c>
      <c r="C40" t="s">
        <v>294</v>
      </c>
      <c r="D40"/>
      <c r="F40">
        <f t="shared" si="0"/>
        <v>0</v>
      </c>
      <c r="G40">
        <f t="shared" si="0"/>
        <v>0</v>
      </c>
    </row>
    <row r="41" spans="1:7" ht="32" x14ac:dyDescent="0.2">
      <c r="A41" s="3" t="s">
        <v>3083</v>
      </c>
      <c r="B41" s="3" t="s">
        <v>3202</v>
      </c>
      <c r="C41" t="s">
        <v>127</v>
      </c>
      <c r="D41"/>
      <c r="F41">
        <f t="shared" si="0"/>
        <v>0</v>
      </c>
      <c r="G41">
        <f t="shared" si="0"/>
        <v>0</v>
      </c>
    </row>
    <row r="42" spans="1:7" ht="48" x14ac:dyDescent="0.2">
      <c r="A42" s="3" t="s">
        <v>3084</v>
      </c>
      <c r="B42" s="3" t="s">
        <v>3203</v>
      </c>
      <c r="C42" t="s">
        <v>127</v>
      </c>
      <c r="D42"/>
      <c r="F42">
        <f t="shared" si="0"/>
        <v>0</v>
      </c>
      <c r="G42">
        <f t="shared" si="0"/>
        <v>0</v>
      </c>
    </row>
    <row r="43" spans="1:7" ht="32" x14ac:dyDescent="0.2">
      <c r="A43" s="3" t="s">
        <v>3085</v>
      </c>
      <c r="B43" s="3" t="s">
        <v>3204</v>
      </c>
      <c r="C43" t="s">
        <v>127</v>
      </c>
      <c r="D43"/>
      <c r="F43">
        <f t="shared" si="0"/>
        <v>0</v>
      </c>
      <c r="G43">
        <f t="shared" si="0"/>
        <v>0</v>
      </c>
    </row>
    <row r="44" spans="1:7" ht="64" x14ac:dyDescent="0.2">
      <c r="A44" s="3" t="s">
        <v>3086</v>
      </c>
      <c r="B44" s="3" t="s">
        <v>3205</v>
      </c>
      <c r="C44" t="s">
        <v>666</v>
      </c>
      <c r="D44"/>
      <c r="F44">
        <f t="shared" si="0"/>
        <v>0</v>
      </c>
      <c r="G44">
        <f t="shared" si="0"/>
        <v>0</v>
      </c>
    </row>
    <row r="45" spans="1:7" ht="32" x14ac:dyDescent="0.2">
      <c r="A45" s="3" t="s">
        <v>3087</v>
      </c>
      <c r="B45" s="3" t="s">
        <v>3206</v>
      </c>
      <c r="C45" t="s">
        <v>127</v>
      </c>
      <c r="D45"/>
      <c r="F45">
        <f t="shared" si="0"/>
        <v>0</v>
      </c>
      <c r="G45">
        <f t="shared" si="0"/>
        <v>0</v>
      </c>
    </row>
    <row r="46" spans="1:7" ht="32" x14ac:dyDescent="0.2">
      <c r="A46" s="3" t="s">
        <v>3088</v>
      </c>
      <c r="B46" s="3" t="s">
        <v>3207</v>
      </c>
      <c r="C46" t="s">
        <v>17</v>
      </c>
      <c r="D46"/>
      <c r="F46">
        <f t="shared" si="0"/>
        <v>0</v>
      </c>
      <c r="G46">
        <f t="shared" si="0"/>
        <v>0</v>
      </c>
    </row>
    <row r="47" spans="1:7" ht="32" x14ac:dyDescent="0.2">
      <c r="A47" s="3" t="s">
        <v>3089</v>
      </c>
      <c r="B47" s="3" t="s">
        <v>3208</v>
      </c>
      <c r="C47" t="s">
        <v>17</v>
      </c>
      <c r="D47"/>
      <c r="F47">
        <f t="shared" si="0"/>
        <v>0</v>
      </c>
      <c r="G47">
        <f t="shared" si="0"/>
        <v>0</v>
      </c>
    </row>
    <row r="48" spans="1:7" ht="32" x14ac:dyDescent="0.2">
      <c r="A48" s="3" t="s">
        <v>3090</v>
      </c>
      <c r="B48" s="3" t="s">
        <v>3209</v>
      </c>
      <c r="C48" t="s">
        <v>67</v>
      </c>
      <c r="D48"/>
      <c r="F48">
        <f t="shared" si="0"/>
        <v>0</v>
      </c>
      <c r="G48">
        <f t="shared" si="0"/>
        <v>0</v>
      </c>
    </row>
    <row r="49" spans="1:7" ht="32" x14ac:dyDescent="0.2">
      <c r="A49" s="3" t="s">
        <v>3091</v>
      </c>
      <c r="B49" s="3" t="s">
        <v>3210</v>
      </c>
      <c r="C49" t="s">
        <v>127</v>
      </c>
      <c r="D49"/>
      <c r="F49">
        <f t="shared" si="0"/>
        <v>0</v>
      </c>
      <c r="G49">
        <f t="shared" si="0"/>
        <v>0</v>
      </c>
    </row>
    <row r="50" spans="1:7" ht="32" x14ac:dyDescent="0.2">
      <c r="A50" s="3" t="s">
        <v>3092</v>
      </c>
      <c r="B50" s="3" t="s">
        <v>3211</v>
      </c>
      <c r="C50" t="s">
        <v>127</v>
      </c>
      <c r="D50"/>
      <c r="F50">
        <f t="shared" si="0"/>
        <v>0</v>
      </c>
      <c r="G50">
        <f t="shared" si="0"/>
        <v>0</v>
      </c>
    </row>
    <row r="51" spans="1:7" ht="32" x14ac:dyDescent="0.2">
      <c r="A51" s="3" t="s">
        <v>3093</v>
      </c>
      <c r="B51" s="3" t="s">
        <v>3212</v>
      </c>
      <c r="C51" t="s">
        <v>2230</v>
      </c>
      <c r="D51"/>
      <c r="F51">
        <f t="shared" si="0"/>
        <v>0</v>
      </c>
      <c r="G51">
        <f t="shared" si="0"/>
        <v>0</v>
      </c>
    </row>
    <row r="52" spans="1:7" ht="32" x14ac:dyDescent="0.2">
      <c r="A52" s="3" t="s">
        <v>3094</v>
      </c>
      <c r="B52" s="3" t="s">
        <v>3213</v>
      </c>
      <c r="C52" t="s">
        <v>3148</v>
      </c>
      <c r="D52"/>
      <c r="F52">
        <f t="shared" si="0"/>
        <v>0</v>
      </c>
      <c r="G52">
        <f t="shared" si="0"/>
        <v>0</v>
      </c>
    </row>
    <row r="53" spans="1:7" ht="32" x14ac:dyDescent="0.2">
      <c r="A53" s="3" t="s">
        <v>3095</v>
      </c>
      <c r="B53" s="3" t="s">
        <v>3214</v>
      </c>
      <c r="C53" t="s">
        <v>6</v>
      </c>
      <c r="D53"/>
      <c r="F53">
        <f t="shared" si="0"/>
        <v>0</v>
      </c>
      <c r="G53">
        <f t="shared" si="0"/>
        <v>0</v>
      </c>
    </row>
    <row r="54" spans="1:7" ht="32" x14ac:dyDescent="0.2">
      <c r="A54" s="3" t="s">
        <v>3096</v>
      </c>
      <c r="B54" s="3" t="s">
        <v>3215</v>
      </c>
      <c r="C54" t="s">
        <v>3149</v>
      </c>
      <c r="D54"/>
      <c r="F54">
        <f t="shared" si="0"/>
        <v>0</v>
      </c>
      <c r="G54">
        <f t="shared" si="0"/>
        <v>0</v>
      </c>
    </row>
    <row r="55" spans="1:7" ht="32" x14ac:dyDescent="0.2">
      <c r="A55" s="3" t="s">
        <v>3097</v>
      </c>
      <c r="B55" s="3" t="s">
        <v>3216</v>
      </c>
      <c r="C55" t="s">
        <v>3150</v>
      </c>
      <c r="D55"/>
      <c r="F55">
        <f t="shared" si="0"/>
        <v>0</v>
      </c>
      <c r="G55">
        <f t="shared" si="0"/>
        <v>0</v>
      </c>
    </row>
    <row r="56" spans="1:7" ht="48" x14ac:dyDescent="0.2">
      <c r="A56" s="3" t="s">
        <v>3098</v>
      </c>
      <c r="B56" s="3" t="s">
        <v>3217</v>
      </c>
      <c r="C56" t="s">
        <v>163</v>
      </c>
      <c r="D56"/>
      <c r="E56" t="s">
        <v>48</v>
      </c>
      <c r="F56">
        <f t="shared" si="0"/>
        <v>0</v>
      </c>
      <c r="G56">
        <f t="shared" si="0"/>
        <v>1</v>
      </c>
    </row>
    <row r="57" spans="1:7" ht="32" x14ac:dyDescent="0.2">
      <c r="A57" s="3" t="s">
        <v>3099</v>
      </c>
      <c r="B57" s="3" t="s">
        <v>3218</v>
      </c>
      <c r="C57" t="s">
        <v>13</v>
      </c>
      <c r="D57"/>
      <c r="F57">
        <f t="shared" si="0"/>
        <v>0</v>
      </c>
      <c r="G57">
        <f t="shared" si="0"/>
        <v>0</v>
      </c>
    </row>
    <row r="58" spans="1:7" ht="32" x14ac:dyDescent="0.2">
      <c r="A58" s="3" t="s">
        <v>3100</v>
      </c>
      <c r="B58" s="3" t="s">
        <v>3219</v>
      </c>
      <c r="C58" t="s">
        <v>6</v>
      </c>
      <c r="D58"/>
      <c r="F58">
        <f t="shared" si="0"/>
        <v>0</v>
      </c>
      <c r="G58">
        <f t="shared" si="0"/>
        <v>0</v>
      </c>
    </row>
    <row r="59" spans="1:7" ht="32" x14ac:dyDescent="0.2">
      <c r="A59" s="3" t="s">
        <v>3101</v>
      </c>
      <c r="B59" s="3" t="s">
        <v>3220</v>
      </c>
      <c r="C59" t="s">
        <v>3151</v>
      </c>
      <c r="D59"/>
      <c r="F59">
        <f t="shared" si="0"/>
        <v>0</v>
      </c>
      <c r="G59">
        <f t="shared" si="0"/>
        <v>0</v>
      </c>
    </row>
    <row r="60" spans="1:7" ht="32" x14ac:dyDescent="0.2">
      <c r="A60" s="3" t="s">
        <v>3102</v>
      </c>
      <c r="B60" s="3" t="s">
        <v>3221</v>
      </c>
      <c r="C60" t="s">
        <v>79</v>
      </c>
      <c r="D60"/>
      <c r="F60">
        <f t="shared" si="0"/>
        <v>0</v>
      </c>
      <c r="G60">
        <f t="shared" si="0"/>
        <v>0</v>
      </c>
    </row>
    <row r="61" spans="1:7" ht="32" x14ac:dyDescent="0.2">
      <c r="A61" s="3" t="s">
        <v>3103</v>
      </c>
      <c r="B61" s="3" t="s">
        <v>3222</v>
      </c>
      <c r="C61" t="s">
        <v>247</v>
      </c>
      <c r="D61"/>
      <c r="F61">
        <f t="shared" si="0"/>
        <v>0</v>
      </c>
      <c r="G61">
        <f t="shared" si="0"/>
        <v>0</v>
      </c>
    </row>
    <row r="62" spans="1:7" ht="32" x14ac:dyDescent="0.2">
      <c r="A62" s="3" t="s">
        <v>3104</v>
      </c>
      <c r="B62" s="3" t="s">
        <v>3223</v>
      </c>
      <c r="C62" t="s">
        <v>34</v>
      </c>
      <c r="D62"/>
      <c r="F62">
        <f t="shared" si="0"/>
        <v>0</v>
      </c>
      <c r="G62">
        <f t="shared" si="0"/>
        <v>0</v>
      </c>
    </row>
    <row r="63" spans="1:7" ht="32" x14ac:dyDescent="0.2">
      <c r="A63" s="3" t="s">
        <v>3105</v>
      </c>
      <c r="B63" s="3" t="s">
        <v>3224</v>
      </c>
      <c r="C63" t="s">
        <v>80</v>
      </c>
      <c r="D63"/>
      <c r="F63">
        <f t="shared" si="0"/>
        <v>0</v>
      </c>
      <c r="G63">
        <f t="shared" si="0"/>
        <v>0</v>
      </c>
    </row>
    <row r="64" spans="1:7" ht="32" x14ac:dyDescent="0.2">
      <c r="A64" s="3" t="s">
        <v>3106</v>
      </c>
      <c r="B64" s="3" t="s">
        <v>3225</v>
      </c>
      <c r="C64" t="s">
        <v>3152</v>
      </c>
      <c r="D64"/>
      <c r="F64">
        <f t="shared" si="0"/>
        <v>0</v>
      </c>
      <c r="G64">
        <f t="shared" si="0"/>
        <v>0</v>
      </c>
    </row>
    <row r="65" spans="1:7" ht="32" x14ac:dyDescent="0.2">
      <c r="A65" s="3" t="s">
        <v>3107</v>
      </c>
      <c r="B65" s="3" t="s">
        <v>3226</v>
      </c>
      <c r="C65" t="s">
        <v>3153</v>
      </c>
      <c r="D65"/>
      <c r="F65">
        <f t="shared" si="0"/>
        <v>0</v>
      </c>
      <c r="G65">
        <f t="shared" si="0"/>
        <v>0</v>
      </c>
    </row>
    <row r="66" spans="1:7" ht="32" x14ac:dyDescent="0.2">
      <c r="A66" s="3" t="s">
        <v>3108</v>
      </c>
      <c r="B66" s="3" t="s">
        <v>3227</v>
      </c>
      <c r="C66" t="s">
        <v>3154</v>
      </c>
      <c r="D66"/>
      <c r="F66">
        <f t="shared" si="0"/>
        <v>0</v>
      </c>
      <c r="G66">
        <f t="shared" si="0"/>
        <v>0</v>
      </c>
    </row>
    <row r="67" spans="1:7" ht="32" x14ac:dyDescent="0.2">
      <c r="A67" s="3" t="s">
        <v>3109</v>
      </c>
      <c r="B67" s="3" t="s">
        <v>3228</v>
      </c>
      <c r="C67" t="s">
        <v>66</v>
      </c>
      <c r="D67"/>
      <c r="F67">
        <f t="shared" ref="F67:G101" si="1">IF(D67="",0,1)</f>
        <v>0</v>
      </c>
      <c r="G67">
        <f t="shared" si="1"/>
        <v>0</v>
      </c>
    </row>
    <row r="68" spans="1:7" ht="32" x14ac:dyDescent="0.2">
      <c r="A68" s="3" t="s">
        <v>3110</v>
      </c>
      <c r="B68" s="3" t="s">
        <v>3229</v>
      </c>
      <c r="C68" t="s">
        <v>13</v>
      </c>
      <c r="D68"/>
      <c r="F68">
        <f t="shared" si="1"/>
        <v>0</v>
      </c>
      <c r="G68">
        <f t="shared" si="1"/>
        <v>0</v>
      </c>
    </row>
    <row r="69" spans="1:7" ht="32" x14ac:dyDescent="0.2">
      <c r="A69" s="3" t="s">
        <v>3111</v>
      </c>
      <c r="B69" s="3" t="s">
        <v>3230</v>
      </c>
      <c r="C69" t="s">
        <v>3155</v>
      </c>
      <c r="D69"/>
      <c r="F69">
        <f t="shared" si="1"/>
        <v>0</v>
      </c>
      <c r="G69">
        <f t="shared" si="1"/>
        <v>0</v>
      </c>
    </row>
    <row r="70" spans="1:7" ht="32" x14ac:dyDescent="0.2">
      <c r="A70" s="3" t="s">
        <v>3112</v>
      </c>
      <c r="B70" s="3" t="s">
        <v>3231</v>
      </c>
      <c r="C70" t="s">
        <v>1858</v>
      </c>
      <c r="D70"/>
      <c r="F70">
        <f t="shared" si="1"/>
        <v>0</v>
      </c>
      <c r="G70">
        <f t="shared" si="1"/>
        <v>0</v>
      </c>
    </row>
    <row r="71" spans="1:7" ht="32" x14ac:dyDescent="0.2">
      <c r="A71" s="3" t="s">
        <v>3113</v>
      </c>
      <c r="B71" s="3" t="s">
        <v>3232</v>
      </c>
      <c r="C71" t="s">
        <v>3156</v>
      </c>
      <c r="D71"/>
      <c r="F71">
        <f t="shared" si="1"/>
        <v>0</v>
      </c>
      <c r="G71">
        <f t="shared" si="1"/>
        <v>0</v>
      </c>
    </row>
    <row r="72" spans="1:7" ht="32" x14ac:dyDescent="0.2">
      <c r="A72" s="3" t="s">
        <v>3114</v>
      </c>
      <c r="B72" s="3" t="s">
        <v>3233</v>
      </c>
      <c r="C72" t="s">
        <v>1862</v>
      </c>
      <c r="D72"/>
      <c r="F72">
        <f t="shared" si="1"/>
        <v>0</v>
      </c>
      <c r="G72">
        <f t="shared" si="1"/>
        <v>0</v>
      </c>
    </row>
    <row r="73" spans="1:7" ht="32" x14ac:dyDescent="0.2">
      <c r="A73" s="3" t="s">
        <v>3115</v>
      </c>
      <c r="B73" s="3" t="s">
        <v>3234</v>
      </c>
      <c r="C73" t="s">
        <v>5</v>
      </c>
      <c r="D73"/>
      <c r="F73">
        <f t="shared" si="1"/>
        <v>0</v>
      </c>
      <c r="G73">
        <f t="shared" si="1"/>
        <v>0</v>
      </c>
    </row>
    <row r="74" spans="1:7" ht="32" x14ac:dyDescent="0.2">
      <c r="A74" s="3" t="s">
        <v>3116</v>
      </c>
      <c r="B74" s="3" t="s">
        <v>3235</v>
      </c>
      <c r="C74" t="s">
        <v>1134</v>
      </c>
      <c r="D74"/>
      <c r="F74">
        <f t="shared" si="1"/>
        <v>0</v>
      </c>
      <c r="G74">
        <f t="shared" si="1"/>
        <v>0</v>
      </c>
    </row>
    <row r="75" spans="1:7" ht="32" x14ac:dyDescent="0.2">
      <c r="A75" s="3" t="s">
        <v>3117</v>
      </c>
      <c r="B75" s="3" t="s">
        <v>3236</v>
      </c>
      <c r="C75" t="s">
        <v>3157</v>
      </c>
      <c r="D75"/>
      <c r="F75">
        <f t="shared" si="1"/>
        <v>0</v>
      </c>
      <c r="G75">
        <f t="shared" si="1"/>
        <v>0</v>
      </c>
    </row>
    <row r="76" spans="1:7" ht="32" x14ac:dyDescent="0.2">
      <c r="A76" s="3" t="s">
        <v>3118</v>
      </c>
      <c r="B76" s="3" t="s">
        <v>3237</v>
      </c>
      <c r="C76" t="s">
        <v>901</v>
      </c>
      <c r="D76"/>
      <c r="F76">
        <f t="shared" si="1"/>
        <v>0</v>
      </c>
      <c r="G76">
        <f t="shared" si="1"/>
        <v>0</v>
      </c>
    </row>
    <row r="77" spans="1:7" ht="32" x14ac:dyDescent="0.2">
      <c r="A77" s="3" t="s">
        <v>3119</v>
      </c>
      <c r="B77" s="3" t="s">
        <v>3238</v>
      </c>
      <c r="C77" t="s">
        <v>79</v>
      </c>
      <c r="D77"/>
      <c r="F77">
        <f t="shared" si="1"/>
        <v>0</v>
      </c>
      <c r="G77">
        <f t="shared" si="1"/>
        <v>0</v>
      </c>
    </row>
    <row r="78" spans="1:7" ht="32" x14ac:dyDescent="0.2">
      <c r="A78" s="3" t="s">
        <v>3120</v>
      </c>
      <c r="B78" s="3" t="s">
        <v>3239</v>
      </c>
      <c r="C78" t="s">
        <v>3158</v>
      </c>
      <c r="D78"/>
      <c r="F78">
        <f t="shared" si="1"/>
        <v>0</v>
      </c>
      <c r="G78">
        <f t="shared" si="1"/>
        <v>0</v>
      </c>
    </row>
    <row r="79" spans="1:7" ht="32" x14ac:dyDescent="0.2">
      <c r="A79" s="3" t="s">
        <v>3121</v>
      </c>
      <c r="B79" s="3" t="s">
        <v>3240</v>
      </c>
      <c r="C79" t="s">
        <v>6</v>
      </c>
      <c r="D79"/>
      <c r="F79">
        <f t="shared" si="1"/>
        <v>0</v>
      </c>
      <c r="G79">
        <f t="shared" si="1"/>
        <v>0</v>
      </c>
    </row>
    <row r="80" spans="1:7" ht="32" x14ac:dyDescent="0.2">
      <c r="A80" s="3" t="s">
        <v>3122</v>
      </c>
      <c r="B80" s="3" t="s">
        <v>3241</v>
      </c>
      <c r="C80" t="s">
        <v>2675</v>
      </c>
      <c r="D80"/>
      <c r="F80">
        <f t="shared" si="1"/>
        <v>0</v>
      </c>
      <c r="G80">
        <f t="shared" si="1"/>
        <v>0</v>
      </c>
    </row>
    <row r="81" spans="1:7" ht="64" x14ac:dyDescent="0.2">
      <c r="A81" s="3" t="s">
        <v>3123</v>
      </c>
      <c r="B81" s="3" t="s">
        <v>3242</v>
      </c>
      <c r="C81" t="s">
        <v>5</v>
      </c>
      <c r="D81"/>
      <c r="F81">
        <f t="shared" si="1"/>
        <v>0</v>
      </c>
      <c r="G81">
        <f t="shared" si="1"/>
        <v>0</v>
      </c>
    </row>
    <row r="82" spans="1:7" ht="80" x14ac:dyDescent="0.2">
      <c r="A82" s="3" t="s">
        <v>3124</v>
      </c>
      <c r="B82" s="7" t="s">
        <v>3243</v>
      </c>
      <c r="C82" t="s">
        <v>3159</v>
      </c>
      <c r="D82"/>
      <c r="F82">
        <f t="shared" si="1"/>
        <v>0</v>
      </c>
      <c r="G82">
        <f t="shared" si="1"/>
        <v>0</v>
      </c>
    </row>
    <row r="83" spans="1:7" ht="32" x14ac:dyDescent="0.2">
      <c r="A83" s="3" t="s">
        <v>3125</v>
      </c>
      <c r="B83" s="7" t="s">
        <v>3244</v>
      </c>
      <c r="C83" t="s">
        <v>265</v>
      </c>
      <c r="D83"/>
      <c r="F83">
        <f t="shared" si="1"/>
        <v>0</v>
      </c>
      <c r="G83">
        <f t="shared" si="1"/>
        <v>0</v>
      </c>
    </row>
    <row r="84" spans="1:7" ht="32" x14ac:dyDescent="0.2">
      <c r="A84" s="3" t="s">
        <v>3126</v>
      </c>
      <c r="B84" s="7" t="s">
        <v>3245</v>
      </c>
      <c r="C84" t="s">
        <v>84</v>
      </c>
      <c r="D84"/>
      <c r="F84">
        <f t="shared" si="1"/>
        <v>0</v>
      </c>
      <c r="G84">
        <f t="shared" si="1"/>
        <v>0</v>
      </c>
    </row>
    <row r="85" spans="1:7" ht="32" x14ac:dyDescent="0.2">
      <c r="A85" s="3" t="s">
        <v>3127</v>
      </c>
      <c r="B85" s="7" t="s">
        <v>3246</v>
      </c>
      <c r="C85" t="s">
        <v>2461</v>
      </c>
      <c r="D85"/>
      <c r="F85">
        <f t="shared" si="1"/>
        <v>0</v>
      </c>
      <c r="G85">
        <f t="shared" si="1"/>
        <v>0</v>
      </c>
    </row>
    <row r="86" spans="1:7" ht="48" x14ac:dyDescent="0.2">
      <c r="A86" s="3" t="s">
        <v>3128</v>
      </c>
      <c r="B86" s="7" t="s">
        <v>3247</v>
      </c>
      <c r="C86" t="s">
        <v>174</v>
      </c>
      <c r="D86"/>
      <c r="F86">
        <f t="shared" si="1"/>
        <v>0</v>
      </c>
      <c r="G86">
        <f t="shared" si="1"/>
        <v>0</v>
      </c>
    </row>
    <row r="87" spans="1:7" ht="32" x14ac:dyDescent="0.2">
      <c r="A87" s="3" t="s">
        <v>3129</v>
      </c>
      <c r="B87" s="7" t="s">
        <v>3248</v>
      </c>
      <c r="C87" t="s">
        <v>83</v>
      </c>
      <c r="D87"/>
      <c r="F87">
        <f t="shared" si="1"/>
        <v>0</v>
      </c>
      <c r="G87">
        <f t="shared" si="1"/>
        <v>0</v>
      </c>
    </row>
    <row r="88" spans="1:7" ht="32" x14ac:dyDescent="0.2">
      <c r="A88" s="3" t="s">
        <v>3130</v>
      </c>
      <c r="B88" s="7" t="s">
        <v>3249</v>
      </c>
      <c r="C88" t="s">
        <v>3160</v>
      </c>
      <c r="D88"/>
      <c r="E88" t="s">
        <v>48</v>
      </c>
      <c r="F88">
        <f t="shared" si="1"/>
        <v>0</v>
      </c>
      <c r="G88">
        <f t="shared" si="1"/>
        <v>1</v>
      </c>
    </row>
    <row r="89" spans="1:7" ht="32" x14ac:dyDescent="0.2">
      <c r="A89" s="3" t="s">
        <v>3131</v>
      </c>
      <c r="B89" s="7" t="s">
        <v>3250</v>
      </c>
      <c r="C89" t="s">
        <v>163</v>
      </c>
      <c r="D89"/>
      <c r="F89">
        <f t="shared" si="1"/>
        <v>0</v>
      </c>
      <c r="G89">
        <f t="shared" si="1"/>
        <v>0</v>
      </c>
    </row>
    <row r="90" spans="1:7" ht="32" x14ac:dyDescent="0.2">
      <c r="A90" s="3" t="s">
        <v>3132</v>
      </c>
      <c r="B90" s="7" t="s">
        <v>3251</v>
      </c>
      <c r="C90" t="s">
        <v>42</v>
      </c>
      <c r="D90"/>
      <c r="F90">
        <f t="shared" si="1"/>
        <v>0</v>
      </c>
      <c r="G90">
        <f t="shared" si="1"/>
        <v>0</v>
      </c>
    </row>
    <row r="91" spans="1:7" ht="32" x14ac:dyDescent="0.2">
      <c r="A91" s="3" t="s">
        <v>3133</v>
      </c>
      <c r="B91" s="7" t="s">
        <v>3252</v>
      </c>
      <c r="C91" t="s">
        <v>3161</v>
      </c>
      <c r="D91"/>
      <c r="E91" t="s">
        <v>90</v>
      </c>
      <c r="F91">
        <f t="shared" si="1"/>
        <v>0</v>
      </c>
      <c r="G91">
        <f t="shared" si="1"/>
        <v>1</v>
      </c>
    </row>
    <row r="92" spans="1:7" ht="48" x14ac:dyDescent="0.2">
      <c r="A92" s="3" t="s">
        <v>3134</v>
      </c>
      <c r="B92" s="7" t="s">
        <v>3253</v>
      </c>
      <c r="C92" t="s">
        <v>132</v>
      </c>
      <c r="D92"/>
      <c r="F92">
        <f t="shared" si="1"/>
        <v>0</v>
      </c>
      <c r="G92">
        <f t="shared" si="1"/>
        <v>0</v>
      </c>
    </row>
    <row r="93" spans="1:7" ht="32" x14ac:dyDescent="0.2">
      <c r="A93" s="3" t="s">
        <v>3135</v>
      </c>
      <c r="B93" s="7" t="s">
        <v>3254</v>
      </c>
      <c r="C93" t="s">
        <v>83</v>
      </c>
      <c r="D93"/>
      <c r="F93">
        <f t="shared" si="1"/>
        <v>0</v>
      </c>
      <c r="G93">
        <f t="shared" si="1"/>
        <v>0</v>
      </c>
    </row>
    <row r="94" spans="1:7" ht="32" x14ac:dyDescent="0.2">
      <c r="A94" s="3" t="s">
        <v>3136</v>
      </c>
      <c r="B94" s="7" t="s">
        <v>3255</v>
      </c>
      <c r="C94" t="s">
        <v>163</v>
      </c>
      <c r="D94"/>
      <c r="F94">
        <f t="shared" si="1"/>
        <v>0</v>
      </c>
      <c r="G94">
        <f t="shared" si="1"/>
        <v>0</v>
      </c>
    </row>
    <row r="95" spans="1:7" ht="32" x14ac:dyDescent="0.2">
      <c r="A95" s="3" t="s">
        <v>3137</v>
      </c>
      <c r="B95" s="7" t="s">
        <v>3256</v>
      </c>
      <c r="C95" t="s">
        <v>184</v>
      </c>
      <c r="D95"/>
      <c r="F95">
        <f t="shared" si="1"/>
        <v>0</v>
      </c>
      <c r="G95">
        <f t="shared" si="1"/>
        <v>0</v>
      </c>
    </row>
    <row r="96" spans="1:7" ht="32" x14ac:dyDescent="0.2">
      <c r="A96" s="3" t="s">
        <v>3138</v>
      </c>
      <c r="B96" s="7" t="s">
        <v>3257</v>
      </c>
      <c r="C96" t="s">
        <v>163</v>
      </c>
      <c r="D96"/>
      <c r="F96">
        <f t="shared" si="1"/>
        <v>0</v>
      </c>
      <c r="G96">
        <f t="shared" si="1"/>
        <v>0</v>
      </c>
    </row>
    <row r="97" spans="1:7" ht="32" x14ac:dyDescent="0.2">
      <c r="A97" s="3" t="s">
        <v>3139</v>
      </c>
      <c r="B97" s="7" t="s">
        <v>3258</v>
      </c>
      <c r="C97" t="s">
        <v>3162</v>
      </c>
      <c r="D97"/>
      <c r="F97">
        <f t="shared" si="1"/>
        <v>0</v>
      </c>
      <c r="G97">
        <f t="shared" si="1"/>
        <v>0</v>
      </c>
    </row>
    <row r="98" spans="1:7" ht="32" x14ac:dyDescent="0.2">
      <c r="A98" s="3" t="s">
        <v>3140</v>
      </c>
      <c r="B98" s="7" t="s">
        <v>3259</v>
      </c>
      <c r="C98" t="s">
        <v>294</v>
      </c>
      <c r="D98"/>
      <c r="F98">
        <f t="shared" si="1"/>
        <v>0</v>
      </c>
      <c r="G98">
        <f t="shared" si="1"/>
        <v>0</v>
      </c>
    </row>
    <row r="99" spans="1:7" ht="48" x14ac:dyDescent="0.2">
      <c r="A99" s="3" t="s">
        <v>3141</v>
      </c>
      <c r="B99" s="7" t="s">
        <v>3260</v>
      </c>
      <c r="C99" t="s">
        <v>127</v>
      </c>
      <c r="D99"/>
      <c r="F99">
        <f t="shared" si="1"/>
        <v>0</v>
      </c>
      <c r="G99">
        <f t="shared" si="1"/>
        <v>0</v>
      </c>
    </row>
    <row r="100" spans="1:7" ht="32" x14ac:dyDescent="0.2">
      <c r="A100" s="3" t="s">
        <v>3142</v>
      </c>
      <c r="B100" s="7" t="s">
        <v>3261</v>
      </c>
      <c r="C100" t="s">
        <v>237</v>
      </c>
      <c r="D100"/>
      <c r="F100">
        <f t="shared" si="1"/>
        <v>0</v>
      </c>
      <c r="G100">
        <f t="shared" si="1"/>
        <v>0</v>
      </c>
    </row>
    <row r="101" spans="1:7" ht="32" x14ac:dyDescent="0.2">
      <c r="A101" s="3" t="s">
        <v>3143</v>
      </c>
      <c r="B101" s="7" t="s">
        <v>3262</v>
      </c>
      <c r="C101" t="s">
        <v>2</v>
      </c>
      <c r="D101"/>
      <c r="F101">
        <f t="shared" si="1"/>
        <v>0</v>
      </c>
      <c r="G101">
        <f t="shared" si="1"/>
        <v>0</v>
      </c>
    </row>
    <row r="102" spans="1:7" ht="16" x14ac:dyDescent="0.2">
      <c r="B102" s="7" t="s">
        <v>2774</v>
      </c>
    </row>
    <row r="103" spans="1:7" x14ac:dyDescent="0.2">
      <c r="F103" s="10">
        <f>SUM(F2:F101)</f>
        <v>1</v>
      </c>
      <c r="G103" s="10">
        <f>SUM(G2:G101)</f>
        <v>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2ED2-8F78-6A48-A44C-312A8753A99D}">
  <dimension ref="A1:G103"/>
  <sheetViews>
    <sheetView topLeftCell="A96" zoomScale="160" zoomScaleNormal="160" workbookViewId="0">
      <selection activeCell="D103" sqref="D103"/>
    </sheetView>
  </sheetViews>
  <sheetFormatPr baseColWidth="10" defaultRowHeight="15" x14ac:dyDescent="0.2"/>
  <cols>
    <col min="1" max="1" width="44.1640625" style="3" customWidth="1"/>
    <col min="2" max="2" width="56.1640625" style="7" customWidth="1"/>
    <col min="3" max="3" width="8.83203125"/>
    <col min="4" max="4" width="15.1640625" style="9" customWidth="1"/>
    <col min="5" max="5" width="13.33203125" customWidth="1"/>
  </cols>
  <sheetData>
    <row r="1" spans="1:7" ht="16" x14ac:dyDescent="0.2">
      <c r="A1" s="2" t="s">
        <v>0</v>
      </c>
      <c r="B1" s="6" t="s">
        <v>101</v>
      </c>
      <c r="C1" s="1" t="s">
        <v>1</v>
      </c>
      <c r="D1" s="8" t="s">
        <v>44</v>
      </c>
      <c r="E1" s="1" t="s">
        <v>45</v>
      </c>
      <c r="F1" s="1" t="s">
        <v>44</v>
      </c>
      <c r="G1" s="1" t="s">
        <v>45</v>
      </c>
    </row>
    <row r="2" spans="1:7" ht="48" x14ac:dyDescent="0.2">
      <c r="A2" s="3" t="s">
        <v>3536</v>
      </c>
      <c r="B2" s="3" t="s">
        <v>3671</v>
      </c>
      <c r="C2" t="s">
        <v>3636</v>
      </c>
      <c r="D2"/>
      <c r="F2">
        <f>IF(D2="",0,1)</f>
        <v>0</v>
      </c>
      <c r="G2">
        <f>IF(E2="",0,1)</f>
        <v>0</v>
      </c>
    </row>
    <row r="3" spans="1:7" ht="64" x14ac:dyDescent="0.2">
      <c r="A3" s="3" t="s">
        <v>3537</v>
      </c>
      <c r="B3" s="3" t="s">
        <v>3672</v>
      </c>
      <c r="C3" t="s">
        <v>3637</v>
      </c>
      <c r="D3"/>
      <c r="F3">
        <f t="shared" ref="F3:G66" si="0">IF(D3="",0,1)</f>
        <v>0</v>
      </c>
      <c r="G3">
        <f t="shared" si="0"/>
        <v>0</v>
      </c>
    </row>
    <row r="4" spans="1:7" ht="64" x14ac:dyDescent="0.2">
      <c r="A4" s="3" t="s">
        <v>3538</v>
      </c>
      <c r="B4" s="3" t="s">
        <v>3673</v>
      </c>
      <c r="C4" t="s">
        <v>1855</v>
      </c>
      <c r="D4"/>
      <c r="F4">
        <f t="shared" si="0"/>
        <v>0</v>
      </c>
      <c r="G4">
        <f t="shared" si="0"/>
        <v>0</v>
      </c>
    </row>
    <row r="5" spans="1:7" ht="64" x14ac:dyDescent="0.2">
      <c r="A5" s="3" t="s">
        <v>3539</v>
      </c>
      <c r="B5" s="3" t="s">
        <v>3674</v>
      </c>
      <c r="C5" t="s">
        <v>3638</v>
      </c>
      <c r="D5"/>
      <c r="F5">
        <f t="shared" si="0"/>
        <v>0</v>
      </c>
      <c r="G5">
        <f t="shared" si="0"/>
        <v>0</v>
      </c>
    </row>
    <row r="6" spans="1:7" ht="64" x14ac:dyDescent="0.2">
      <c r="A6" s="3" t="s">
        <v>3540</v>
      </c>
      <c r="B6" s="3" t="s">
        <v>3675</v>
      </c>
      <c r="C6" t="s">
        <v>3639</v>
      </c>
      <c r="D6"/>
      <c r="F6">
        <f t="shared" si="0"/>
        <v>0</v>
      </c>
      <c r="G6">
        <f t="shared" si="0"/>
        <v>0</v>
      </c>
    </row>
    <row r="7" spans="1:7" ht="48" x14ac:dyDescent="0.2">
      <c r="A7" s="3" t="s">
        <v>3541</v>
      </c>
      <c r="B7" s="3" t="s">
        <v>3676</v>
      </c>
      <c r="C7" t="s">
        <v>32</v>
      </c>
      <c r="D7"/>
      <c r="F7">
        <f t="shared" si="0"/>
        <v>0</v>
      </c>
      <c r="G7">
        <f t="shared" si="0"/>
        <v>0</v>
      </c>
    </row>
    <row r="8" spans="1:7" ht="64" x14ac:dyDescent="0.2">
      <c r="A8" s="3" t="s">
        <v>3542</v>
      </c>
      <c r="B8" s="3" t="s">
        <v>3677</v>
      </c>
      <c r="C8" t="s">
        <v>97</v>
      </c>
      <c r="D8"/>
      <c r="F8">
        <f t="shared" si="0"/>
        <v>0</v>
      </c>
      <c r="G8">
        <f t="shared" si="0"/>
        <v>0</v>
      </c>
    </row>
    <row r="9" spans="1:7" ht="48" x14ac:dyDescent="0.2">
      <c r="A9" s="3" t="s">
        <v>3543</v>
      </c>
      <c r="B9" s="3" t="s">
        <v>3678</v>
      </c>
      <c r="C9" t="s">
        <v>2</v>
      </c>
      <c r="D9"/>
      <c r="F9">
        <f t="shared" si="0"/>
        <v>0</v>
      </c>
      <c r="G9">
        <f t="shared" si="0"/>
        <v>0</v>
      </c>
    </row>
    <row r="10" spans="1:7" ht="64" x14ac:dyDescent="0.2">
      <c r="A10" s="3" t="s">
        <v>3544</v>
      </c>
      <c r="B10" s="3" t="s">
        <v>3679</v>
      </c>
      <c r="C10" t="s">
        <v>5</v>
      </c>
      <c r="D10"/>
      <c r="F10">
        <f t="shared" si="0"/>
        <v>0</v>
      </c>
      <c r="G10">
        <f t="shared" si="0"/>
        <v>0</v>
      </c>
    </row>
    <row r="11" spans="1:7" ht="64" x14ac:dyDescent="0.2">
      <c r="A11" s="3" t="s">
        <v>3545</v>
      </c>
      <c r="B11" s="3" t="s">
        <v>3680</v>
      </c>
      <c r="C11" t="s">
        <v>2</v>
      </c>
      <c r="D11"/>
      <c r="F11">
        <f t="shared" si="0"/>
        <v>0</v>
      </c>
      <c r="G11">
        <f t="shared" si="0"/>
        <v>0</v>
      </c>
    </row>
    <row r="12" spans="1:7" ht="64" x14ac:dyDescent="0.2">
      <c r="A12" s="3" t="s">
        <v>3546</v>
      </c>
      <c r="B12" s="3" t="s">
        <v>3681</v>
      </c>
      <c r="C12" t="s">
        <v>3640</v>
      </c>
      <c r="D12"/>
      <c r="F12">
        <f t="shared" si="0"/>
        <v>0</v>
      </c>
      <c r="G12">
        <f t="shared" si="0"/>
        <v>0</v>
      </c>
    </row>
    <row r="13" spans="1:7" ht="64" x14ac:dyDescent="0.2">
      <c r="A13" s="3" t="s">
        <v>3547</v>
      </c>
      <c r="B13" s="3" t="s">
        <v>3682</v>
      </c>
      <c r="C13" t="s">
        <v>2096</v>
      </c>
      <c r="D13"/>
      <c r="F13">
        <f t="shared" si="0"/>
        <v>0</v>
      </c>
      <c r="G13">
        <f t="shared" si="0"/>
        <v>0</v>
      </c>
    </row>
    <row r="14" spans="1:7" ht="64" x14ac:dyDescent="0.2">
      <c r="A14" s="3" t="s">
        <v>3548</v>
      </c>
      <c r="B14" s="3" t="s">
        <v>3683</v>
      </c>
      <c r="C14" t="s">
        <v>3641</v>
      </c>
      <c r="D14"/>
      <c r="F14">
        <f t="shared" si="0"/>
        <v>0</v>
      </c>
      <c r="G14">
        <f t="shared" si="0"/>
        <v>0</v>
      </c>
    </row>
    <row r="15" spans="1:7" ht="64" x14ac:dyDescent="0.2">
      <c r="A15" s="3" t="s">
        <v>3549</v>
      </c>
      <c r="B15" s="3" t="s">
        <v>3684</v>
      </c>
      <c r="C15" t="s">
        <v>3642</v>
      </c>
      <c r="D15"/>
      <c r="F15">
        <f t="shared" si="0"/>
        <v>0</v>
      </c>
      <c r="G15">
        <f t="shared" si="0"/>
        <v>0</v>
      </c>
    </row>
    <row r="16" spans="1:7" ht="64" x14ac:dyDescent="0.2">
      <c r="A16" s="3" t="s">
        <v>3550</v>
      </c>
      <c r="B16" s="3" t="s">
        <v>3685</v>
      </c>
      <c r="C16" t="s">
        <v>3643</v>
      </c>
      <c r="D16"/>
      <c r="F16">
        <f t="shared" si="0"/>
        <v>0</v>
      </c>
      <c r="G16">
        <f t="shared" si="0"/>
        <v>0</v>
      </c>
    </row>
    <row r="17" spans="1:7" ht="64" x14ac:dyDescent="0.2">
      <c r="A17" s="3" t="s">
        <v>3551</v>
      </c>
      <c r="B17" s="3" t="s">
        <v>3686</v>
      </c>
      <c r="C17" t="s">
        <v>20</v>
      </c>
      <c r="D17"/>
      <c r="F17">
        <f t="shared" si="0"/>
        <v>0</v>
      </c>
      <c r="G17">
        <f t="shared" si="0"/>
        <v>0</v>
      </c>
    </row>
    <row r="18" spans="1:7" ht="64" x14ac:dyDescent="0.2">
      <c r="A18" s="3" t="s">
        <v>3552</v>
      </c>
      <c r="B18" s="3" t="s">
        <v>3687</v>
      </c>
      <c r="C18" t="s">
        <v>61</v>
      </c>
      <c r="D18"/>
      <c r="F18">
        <f t="shared" si="0"/>
        <v>0</v>
      </c>
      <c r="G18">
        <f t="shared" si="0"/>
        <v>0</v>
      </c>
    </row>
    <row r="19" spans="1:7" ht="48" x14ac:dyDescent="0.2">
      <c r="A19" s="3" t="s">
        <v>3553</v>
      </c>
      <c r="B19" s="3" t="s">
        <v>3688</v>
      </c>
      <c r="C19" t="s">
        <v>125</v>
      </c>
      <c r="D19"/>
      <c r="E19" t="s">
        <v>48</v>
      </c>
      <c r="F19">
        <f t="shared" si="0"/>
        <v>0</v>
      </c>
      <c r="G19">
        <f t="shared" si="0"/>
        <v>1</v>
      </c>
    </row>
    <row r="20" spans="1:7" ht="64" x14ac:dyDescent="0.2">
      <c r="A20" s="3" t="s">
        <v>3554</v>
      </c>
      <c r="B20" s="3" t="s">
        <v>3689</v>
      </c>
      <c r="C20" t="s">
        <v>127</v>
      </c>
      <c r="D20"/>
      <c r="F20">
        <f t="shared" si="0"/>
        <v>0</v>
      </c>
      <c r="G20">
        <f t="shared" si="0"/>
        <v>0</v>
      </c>
    </row>
    <row r="21" spans="1:7" ht="64" x14ac:dyDescent="0.2">
      <c r="A21" s="3" t="s">
        <v>3555</v>
      </c>
      <c r="B21" s="3" t="s">
        <v>3690</v>
      </c>
      <c r="C21" t="s">
        <v>3644</v>
      </c>
      <c r="D21"/>
      <c r="F21">
        <f t="shared" si="0"/>
        <v>0</v>
      </c>
      <c r="G21">
        <f t="shared" si="0"/>
        <v>0</v>
      </c>
    </row>
    <row r="22" spans="1:7" ht="64" x14ac:dyDescent="0.2">
      <c r="A22" s="3" t="s">
        <v>3556</v>
      </c>
      <c r="B22" s="3" t="s">
        <v>3691</v>
      </c>
      <c r="C22" t="s">
        <v>70</v>
      </c>
      <c r="D22"/>
      <c r="E22" t="s">
        <v>259</v>
      </c>
      <c r="F22">
        <f t="shared" si="0"/>
        <v>0</v>
      </c>
      <c r="G22">
        <f t="shared" si="0"/>
        <v>1</v>
      </c>
    </row>
    <row r="23" spans="1:7" ht="48" x14ac:dyDescent="0.2">
      <c r="A23" s="3" t="s">
        <v>3557</v>
      </c>
      <c r="B23" s="3" t="s">
        <v>3692</v>
      </c>
      <c r="C23" t="s">
        <v>137</v>
      </c>
      <c r="D23"/>
      <c r="F23">
        <f t="shared" si="0"/>
        <v>0</v>
      </c>
      <c r="G23">
        <f t="shared" si="0"/>
        <v>0</v>
      </c>
    </row>
    <row r="24" spans="1:7" ht="64" x14ac:dyDescent="0.2">
      <c r="A24" s="3" t="s">
        <v>3558</v>
      </c>
      <c r="B24" s="3" t="s">
        <v>3693</v>
      </c>
      <c r="C24" t="s">
        <v>203</v>
      </c>
      <c r="D24"/>
      <c r="F24">
        <f t="shared" si="0"/>
        <v>0</v>
      </c>
      <c r="G24">
        <f t="shared" si="0"/>
        <v>0</v>
      </c>
    </row>
    <row r="25" spans="1:7" ht="64" x14ac:dyDescent="0.2">
      <c r="A25" s="3" t="s">
        <v>3559</v>
      </c>
      <c r="B25" s="3" t="s">
        <v>3694</v>
      </c>
      <c r="C25" t="s">
        <v>104</v>
      </c>
      <c r="D25"/>
      <c r="F25">
        <f t="shared" si="0"/>
        <v>0</v>
      </c>
      <c r="G25">
        <f t="shared" si="0"/>
        <v>0</v>
      </c>
    </row>
    <row r="26" spans="1:7" ht="64" x14ac:dyDescent="0.2">
      <c r="A26" s="3" t="s">
        <v>3560</v>
      </c>
      <c r="B26" s="3" t="s">
        <v>3695</v>
      </c>
      <c r="C26" t="s">
        <v>84</v>
      </c>
      <c r="D26"/>
      <c r="F26">
        <f t="shared" si="0"/>
        <v>0</v>
      </c>
      <c r="G26">
        <f t="shared" si="0"/>
        <v>0</v>
      </c>
    </row>
    <row r="27" spans="1:7" ht="48" x14ac:dyDescent="0.2">
      <c r="A27" s="3" t="s">
        <v>3561</v>
      </c>
      <c r="B27" s="3" t="s">
        <v>3696</v>
      </c>
      <c r="C27" t="s">
        <v>3645</v>
      </c>
      <c r="D27"/>
      <c r="E27" t="s">
        <v>48</v>
      </c>
      <c r="F27">
        <f t="shared" si="0"/>
        <v>0</v>
      </c>
      <c r="G27">
        <f t="shared" si="0"/>
        <v>1</v>
      </c>
    </row>
    <row r="28" spans="1:7" ht="48" x14ac:dyDescent="0.2">
      <c r="A28" s="3" t="s">
        <v>3562</v>
      </c>
      <c r="B28" s="3" t="s">
        <v>3697</v>
      </c>
      <c r="C28" t="s">
        <v>3646</v>
      </c>
      <c r="D28"/>
      <c r="F28">
        <f t="shared" si="0"/>
        <v>0</v>
      </c>
      <c r="G28">
        <f t="shared" si="0"/>
        <v>0</v>
      </c>
    </row>
    <row r="29" spans="1:7" ht="48" x14ac:dyDescent="0.2">
      <c r="A29" s="3" t="s">
        <v>3563</v>
      </c>
      <c r="B29" s="3" t="s">
        <v>3698</v>
      </c>
      <c r="C29" t="s">
        <v>125</v>
      </c>
      <c r="D29"/>
      <c r="F29">
        <f t="shared" si="0"/>
        <v>0</v>
      </c>
      <c r="G29">
        <f t="shared" si="0"/>
        <v>0</v>
      </c>
    </row>
    <row r="30" spans="1:7" ht="48" x14ac:dyDescent="0.2">
      <c r="A30" s="3" t="s">
        <v>3564</v>
      </c>
      <c r="B30" s="3" t="s">
        <v>3699</v>
      </c>
      <c r="C30" t="s">
        <v>114</v>
      </c>
      <c r="D30"/>
      <c r="F30">
        <f t="shared" si="0"/>
        <v>0</v>
      </c>
      <c r="G30">
        <f t="shared" si="0"/>
        <v>0</v>
      </c>
    </row>
    <row r="31" spans="1:7" ht="64" x14ac:dyDescent="0.2">
      <c r="A31" s="3" t="s">
        <v>3565</v>
      </c>
      <c r="B31" s="3" t="s">
        <v>3700</v>
      </c>
      <c r="C31" t="s">
        <v>127</v>
      </c>
      <c r="D31"/>
      <c r="F31">
        <f t="shared" si="0"/>
        <v>0</v>
      </c>
      <c r="G31">
        <f t="shared" si="0"/>
        <v>0</v>
      </c>
    </row>
    <row r="32" spans="1:7" ht="48" x14ac:dyDescent="0.2">
      <c r="A32" s="3" t="s">
        <v>3566</v>
      </c>
      <c r="B32" s="3" t="s">
        <v>3701</v>
      </c>
      <c r="C32" t="s">
        <v>3647</v>
      </c>
      <c r="D32"/>
      <c r="F32">
        <f t="shared" si="0"/>
        <v>0</v>
      </c>
      <c r="G32">
        <f t="shared" si="0"/>
        <v>0</v>
      </c>
    </row>
    <row r="33" spans="1:7" ht="48" x14ac:dyDescent="0.2">
      <c r="A33" s="3" t="s">
        <v>3567</v>
      </c>
      <c r="B33" s="3" t="s">
        <v>3702</v>
      </c>
      <c r="C33" t="s">
        <v>5</v>
      </c>
      <c r="D33"/>
      <c r="F33">
        <f t="shared" si="0"/>
        <v>0</v>
      </c>
      <c r="G33">
        <f t="shared" si="0"/>
        <v>0</v>
      </c>
    </row>
    <row r="34" spans="1:7" ht="48" x14ac:dyDescent="0.2">
      <c r="A34" s="3" t="s">
        <v>3568</v>
      </c>
      <c r="B34" s="3" t="s">
        <v>3703</v>
      </c>
      <c r="C34" t="s">
        <v>67</v>
      </c>
      <c r="D34"/>
      <c r="F34">
        <f t="shared" si="0"/>
        <v>0</v>
      </c>
      <c r="G34">
        <f t="shared" si="0"/>
        <v>0</v>
      </c>
    </row>
    <row r="35" spans="1:7" ht="48" x14ac:dyDescent="0.2">
      <c r="A35" s="3" t="s">
        <v>3569</v>
      </c>
      <c r="B35" s="3" t="s">
        <v>3704</v>
      </c>
      <c r="C35" t="s">
        <v>38</v>
      </c>
      <c r="D35"/>
      <c r="F35">
        <f t="shared" si="0"/>
        <v>0</v>
      </c>
      <c r="G35">
        <f t="shared" si="0"/>
        <v>0</v>
      </c>
    </row>
    <row r="36" spans="1:7" ht="64" x14ac:dyDescent="0.2">
      <c r="A36" s="3" t="s">
        <v>3570</v>
      </c>
      <c r="B36" s="3" t="s">
        <v>3705</v>
      </c>
      <c r="C36" t="s">
        <v>3648</v>
      </c>
      <c r="D36"/>
      <c r="F36">
        <f t="shared" si="0"/>
        <v>0</v>
      </c>
      <c r="G36">
        <f t="shared" si="0"/>
        <v>0</v>
      </c>
    </row>
    <row r="37" spans="1:7" ht="64" x14ac:dyDescent="0.2">
      <c r="A37" s="3" t="s">
        <v>3571</v>
      </c>
      <c r="B37" s="3" t="s">
        <v>3706</v>
      </c>
      <c r="C37" t="s">
        <v>84</v>
      </c>
      <c r="D37"/>
      <c r="F37">
        <f t="shared" si="0"/>
        <v>0</v>
      </c>
      <c r="G37">
        <f t="shared" si="0"/>
        <v>0</v>
      </c>
    </row>
    <row r="38" spans="1:7" ht="48" x14ac:dyDescent="0.2">
      <c r="A38" s="3" t="s">
        <v>3572</v>
      </c>
      <c r="B38" s="3" t="s">
        <v>3707</v>
      </c>
      <c r="C38" t="s">
        <v>172</v>
      </c>
      <c r="D38"/>
      <c r="F38">
        <f t="shared" si="0"/>
        <v>0</v>
      </c>
      <c r="G38">
        <f t="shared" si="0"/>
        <v>0</v>
      </c>
    </row>
    <row r="39" spans="1:7" ht="48" x14ac:dyDescent="0.2">
      <c r="A39" s="3" t="s">
        <v>3573</v>
      </c>
      <c r="B39" s="3" t="s">
        <v>3708</v>
      </c>
      <c r="C39" t="s">
        <v>3159</v>
      </c>
      <c r="D39"/>
      <c r="E39" t="s">
        <v>259</v>
      </c>
      <c r="F39">
        <f t="shared" si="0"/>
        <v>0</v>
      </c>
      <c r="G39">
        <f t="shared" si="0"/>
        <v>1</v>
      </c>
    </row>
    <row r="40" spans="1:7" ht="64" x14ac:dyDescent="0.2">
      <c r="A40" s="3" t="s">
        <v>3574</v>
      </c>
      <c r="B40" s="3" t="s">
        <v>3709</v>
      </c>
      <c r="C40" t="s">
        <v>3648</v>
      </c>
      <c r="D40"/>
      <c r="F40">
        <f t="shared" si="0"/>
        <v>0</v>
      </c>
      <c r="G40">
        <f t="shared" si="0"/>
        <v>0</v>
      </c>
    </row>
    <row r="41" spans="1:7" ht="48" x14ac:dyDescent="0.2">
      <c r="A41" s="3" t="s">
        <v>3575</v>
      </c>
      <c r="B41" s="3" t="s">
        <v>3710</v>
      </c>
      <c r="C41" t="s">
        <v>41</v>
      </c>
      <c r="D41"/>
      <c r="F41">
        <f t="shared" si="0"/>
        <v>0</v>
      </c>
      <c r="G41">
        <f t="shared" si="0"/>
        <v>0</v>
      </c>
    </row>
    <row r="42" spans="1:7" ht="48" x14ac:dyDescent="0.2">
      <c r="A42" s="3" t="s">
        <v>3576</v>
      </c>
      <c r="B42" s="3" t="s">
        <v>3711</v>
      </c>
      <c r="C42" t="s">
        <v>3649</v>
      </c>
      <c r="D42"/>
      <c r="F42">
        <f t="shared" si="0"/>
        <v>0</v>
      </c>
      <c r="G42">
        <f t="shared" si="0"/>
        <v>0</v>
      </c>
    </row>
    <row r="43" spans="1:7" ht="48" x14ac:dyDescent="0.2">
      <c r="A43" s="3" t="s">
        <v>3577</v>
      </c>
      <c r="B43" s="3" t="s">
        <v>3712</v>
      </c>
      <c r="C43" t="s">
        <v>5</v>
      </c>
      <c r="D43"/>
      <c r="F43">
        <f t="shared" si="0"/>
        <v>0</v>
      </c>
      <c r="G43">
        <f t="shared" si="0"/>
        <v>0</v>
      </c>
    </row>
    <row r="44" spans="1:7" ht="48" x14ac:dyDescent="0.2">
      <c r="A44" s="3" t="s">
        <v>3578</v>
      </c>
      <c r="B44" s="3" t="s">
        <v>3713</v>
      </c>
      <c r="C44" t="s">
        <v>3650</v>
      </c>
      <c r="D44"/>
      <c r="F44">
        <f t="shared" si="0"/>
        <v>0</v>
      </c>
      <c r="G44">
        <f t="shared" si="0"/>
        <v>0</v>
      </c>
    </row>
    <row r="45" spans="1:7" ht="64" x14ac:dyDescent="0.2">
      <c r="A45" s="3" t="s">
        <v>3579</v>
      </c>
      <c r="B45" s="3" t="s">
        <v>3714</v>
      </c>
      <c r="C45" t="s">
        <v>19</v>
      </c>
      <c r="D45"/>
      <c r="F45">
        <f t="shared" si="0"/>
        <v>0</v>
      </c>
      <c r="G45">
        <f t="shared" si="0"/>
        <v>0</v>
      </c>
    </row>
    <row r="46" spans="1:7" ht="48" x14ac:dyDescent="0.2">
      <c r="A46" s="3" t="s">
        <v>3580</v>
      </c>
      <c r="B46" s="3" t="s">
        <v>3715</v>
      </c>
      <c r="C46" t="s">
        <v>275</v>
      </c>
      <c r="D46"/>
      <c r="F46">
        <f t="shared" si="0"/>
        <v>0</v>
      </c>
      <c r="G46">
        <f t="shared" si="0"/>
        <v>0</v>
      </c>
    </row>
    <row r="47" spans="1:7" ht="48" x14ac:dyDescent="0.2">
      <c r="A47" s="3" t="s">
        <v>3581</v>
      </c>
      <c r="B47" s="3" t="s">
        <v>3716</v>
      </c>
      <c r="C47" t="s">
        <v>3651</v>
      </c>
      <c r="D47"/>
      <c r="F47">
        <f t="shared" si="0"/>
        <v>0</v>
      </c>
      <c r="G47">
        <f t="shared" si="0"/>
        <v>0</v>
      </c>
    </row>
    <row r="48" spans="1:7" ht="48" x14ac:dyDescent="0.2">
      <c r="A48" s="3" t="s">
        <v>3582</v>
      </c>
      <c r="B48" s="3" t="s">
        <v>3717</v>
      </c>
      <c r="C48" t="s">
        <v>64</v>
      </c>
      <c r="D48"/>
      <c r="F48">
        <f t="shared" si="0"/>
        <v>0</v>
      </c>
      <c r="G48">
        <f t="shared" si="0"/>
        <v>0</v>
      </c>
    </row>
    <row r="49" spans="1:7" ht="64" x14ac:dyDescent="0.2">
      <c r="A49" s="3" t="s">
        <v>3583</v>
      </c>
      <c r="B49" s="3" t="s">
        <v>3718</v>
      </c>
      <c r="C49" t="s">
        <v>30</v>
      </c>
      <c r="D49"/>
      <c r="F49">
        <f t="shared" si="0"/>
        <v>0</v>
      </c>
      <c r="G49">
        <f t="shared" si="0"/>
        <v>0</v>
      </c>
    </row>
    <row r="50" spans="1:7" ht="64" x14ac:dyDescent="0.2">
      <c r="A50" s="3" t="s">
        <v>3584</v>
      </c>
      <c r="B50" s="3" t="s">
        <v>3719</v>
      </c>
      <c r="C50" t="s">
        <v>2933</v>
      </c>
      <c r="D50"/>
      <c r="E50" t="s">
        <v>48</v>
      </c>
      <c r="F50">
        <f t="shared" si="0"/>
        <v>0</v>
      </c>
      <c r="G50">
        <f t="shared" si="0"/>
        <v>1</v>
      </c>
    </row>
    <row r="51" spans="1:7" ht="64" x14ac:dyDescent="0.2">
      <c r="A51" s="3" t="s">
        <v>3585</v>
      </c>
      <c r="B51" s="3" t="s">
        <v>3720</v>
      </c>
      <c r="C51" t="s">
        <v>228</v>
      </c>
      <c r="D51"/>
      <c r="F51">
        <f t="shared" si="0"/>
        <v>0</v>
      </c>
      <c r="G51">
        <f t="shared" si="0"/>
        <v>0</v>
      </c>
    </row>
    <row r="52" spans="1:7" ht="48" x14ac:dyDescent="0.2">
      <c r="A52" s="3" t="s">
        <v>3586</v>
      </c>
      <c r="B52" s="3" t="s">
        <v>3721</v>
      </c>
      <c r="C52" t="s">
        <v>3652</v>
      </c>
      <c r="D52"/>
      <c r="F52">
        <f t="shared" si="0"/>
        <v>0</v>
      </c>
      <c r="G52">
        <f t="shared" si="0"/>
        <v>0</v>
      </c>
    </row>
    <row r="53" spans="1:7" ht="64" x14ac:dyDescent="0.2">
      <c r="A53" s="3" t="s">
        <v>3587</v>
      </c>
      <c r="B53" s="3" t="s">
        <v>3722</v>
      </c>
      <c r="C53" t="s">
        <v>5</v>
      </c>
      <c r="D53"/>
      <c r="F53">
        <f t="shared" si="0"/>
        <v>0</v>
      </c>
      <c r="G53">
        <f t="shared" si="0"/>
        <v>0</v>
      </c>
    </row>
    <row r="54" spans="1:7" ht="48" x14ac:dyDescent="0.2">
      <c r="A54" s="3" t="s">
        <v>3588</v>
      </c>
      <c r="B54" s="3" t="s">
        <v>3723</v>
      </c>
      <c r="C54" t="s">
        <v>84</v>
      </c>
      <c r="D54"/>
      <c r="F54">
        <f t="shared" si="0"/>
        <v>0</v>
      </c>
      <c r="G54">
        <f t="shared" si="0"/>
        <v>0</v>
      </c>
    </row>
    <row r="55" spans="1:7" ht="64" x14ac:dyDescent="0.2">
      <c r="A55" s="3" t="s">
        <v>3589</v>
      </c>
      <c r="B55" s="3" t="s">
        <v>3724</v>
      </c>
      <c r="C55" t="s">
        <v>41</v>
      </c>
      <c r="D55"/>
      <c r="F55">
        <f t="shared" si="0"/>
        <v>0</v>
      </c>
      <c r="G55">
        <f t="shared" si="0"/>
        <v>0</v>
      </c>
    </row>
    <row r="56" spans="1:7" ht="64" x14ac:dyDescent="0.2">
      <c r="A56" s="3" t="s">
        <v>3590</v>
      </c>
      <c r="B56" s="3" t="s">
        <v>3725</v>
      </c>
      <c r="C56" t="s">
        <v>8</v>
      </c>
      <c r="D56"/>
      <c r="F56">
        <f t="shared" si="0"/>
        <v>0</v>
      </c>
      <c r="G56">
        <f t="shared" si="0"/>
        <v>0</v>
      </c>
    </row>
    <row r="57" spans="1:7" ht="64" x14ac:dyDescent="0.2">
      <c r="A57" s="3" t="s">
        <v>3591</v>
      </c>
      <c r="B57" s="3" t="s">
        <v>3726</v>
      </c>
      <c r="C57" t="s">
        <v>80</v>
      </c>
      <c r="D57"/>
      <c r="E57" t="s">
        <v>3771</v>
      </c>
      <c r="F57">
        <f t="shared" si="0"/>
        <v>0</v>
      </c>
      <c r="G57">
        <f t="shared" si="0"/>
        <v>1</v>
      </c>
    </row>
    <row r="58" spans="1:7" ht="48" x14ac:dyDescent="0.2">
      <c r="A58" s="3" t="s">
        <v>3592</v>
      </c>
      <c r="B58" s="3" t="s">
        <v>3727</v>
      </c>
      <c r="C58" t="s">
        <v>122</v>
      </c>
      <c r="D58"/>
      <c r="F58">
        <f t="shared" si="0"/>
        <v>0</v>
      </c>
      <c r="G58">
        <f t="shared" si="0"/>
        <v>0</v>
      </c>
    </row>
    <row r="59" spans="1:7" ht="64" x14ac:dyDescent="0.2">
      <c r="A59" s="3" t="s">
        <v>3593</v>
      </c>
      <c r="B59" s="3" t="s">
        <v>3728</v>
      </c>
      <c r="C59" t="s">
        <v>62</v>
      </c>
      <c r="D59"/>
      <c r="F59">
        <f t="shared" si="0"/>
        <v>0</v>
      </c>
      <c r="G59">
        <f t="shared" si="0"/>
        <v>0</v>
      </c>
    </row>
    <row r="60" spans="1:7" ht="48" x14ac:dyDescent="0.2">
      <c r="A60" s="3" t="s">
        <v>3594</v>
      </c>
      <c r="B60" s="3" t="s">
        <v>3729</v>
      </c>
      <c r="C60" t="s">
        <v>228</v>
      </c>
      <c r="D60"/>
      <c r="F60">
        <f t="shared" si="0"/>
        <v>0</v>
      </c>
      <c r="G60">
        <f t="shared" si="0"/>
        <v>0</v>
      </c>
    </row>
    <row r="61" spans="1:7" ht="48" x14ac:dyDescent="0.2">
      <c r="A61" s="3" t="s">
        <v>3595</v>
      </c>
      <c r="B61" s="3" t="s">
        <v>3730</v>
      </c>
      <c r="C61" t="s">
        <v>6</v>
      </c>
      <c r="D61"/>
      <c r="F61">
        <f t="shared" si="0"/>
        <v>0</v>
      </c>
      <c r="G61">
        <f t="shared" si="0"/>
        <v>0</v>
      </c>
    </row>
    <row r="62" spans="1:7" ht="48" x14ac:dyDescent="0.2">
      <c r="A62" s="3" t="s">
        <v>3596</v>
      </c>
      <c r="B62" s="3" t="s">
        <v>3731</v>
      </c>
      <c r="C62" t="s">
        <v>3653</v>
      </c>
      <c r="D62"/>
      <c r="F62">
        <f t="shared" si="0"/>
        <v>0</v>
      </c>
      <c r="G62">
        <f t="shared" si="0"/>
        <v>0</v>
      </c>
    </row>
    <row r="63" spans="1:7" ht="64" x14ac:dyDescent="0.2">
      <c r="A63" s="3" t="s">
        <v>3597</v>
      </c>
      <c r="B63" s="3" t="s">
        <v>3732</v>
      </c>
      <c r="C63" t="s">
        <v>98</v>
      </c>
      <c r="D63"/>
      <c r="E63" t="s">
        <v>48</v>
      </c>
      <c r="F63">
        <f t="shared" si="0"/>
        <v>0</v>
      </c>
      <c r="G63">
        <f t="shared" si="0"/>
        <v>1</v>
      </c>
    </row>
    <row r="64" spans="1:7" ht="48" x14ac:dyDescent="0.2">
      <c r="A64" s="3" t="s">
        <v>3598</v>
      </c>
      <c r="B64" s="3" t="s">
        <v>3733</v>
      </c>
      <c r="C64" t="s">
        <v>3654</v>
      </c>
      <c r="D64"/>
      <c r="F64">
        <f t="shared" si="0"/>
        <v>0</v>
      </c>
      <c r="G64">
        <f t="shared" si="0"/>
        <v>0</v>
      </c>
    </row>
    <row r="65" spans="1:7" ht="64" x14ac:dyDescent="0.2">
      <c r="A65" s="3" t="s">
        <v>3599</v>
      </c>
      <c r="B65" s="3" t="s">
        <v>3734</v>
      </c>
      <c r="C65" t="s">
        <v>144</v>
      </c>
      <c r="D65"/>
      <c r="F65">
        <f t="shared" si="0"/>
        <v>0</v>
      </c>
      <c r="G65">
        <f t="shared" si="0"/>
        <v>0</v>
      </c>
    </row>
    <row r="66" spans="1:7" ht="48" x14ac:dyDescent="0.2">
      <c r="A66" s="3" t="s">
        <v>3600</v>
      </c>
      <c r="B66" s="3" t="s">
        <v>3735</v>
      </c>
      <c r="C66" t="s">
        <v>3655</v>
      </c>
      <c r="D66"/>
      <c r="E66" t="s">
        <v>48</v>
      </c>
      <c r="F66">
        <f t="shared" si="0"/>
        <v>0</v>
      </c>
      <c r="G66">
        <f t="shared" si="0"/>
        <v>1</v>
      </c>
    </row>
    <row r="67" spans="1:7" ht="48" x14ac:dyDescent="0.2">
      <c r="A67" s="3" t="s">
        <v>3601</v>
      </c>
      <c r="B67" s="3" t="s">
        <v>3736</v>
      </c>
      <c r="C67" t="s">
        <v>193</v>
      </c>
      <c r="D67"/>
      <c r="F67">
        <f t="shared" ref="F67:G101" si="1">IF(D67="",0,1)</f>
        <v>0</v>
      </c>
      <c r="G67">
        <f t="shared" si="1"/>
        <v>0</v>
      </c>
    </row>
    <row r="68" spans="1:7" ht="48" x14ac:dyDescent="0.2">
      <c r="A68" s="3" t="s">
        <v>3602</v>
      </c>
      <c r="B68" s="3" t="s">
        <v>3737</v>
      </c>
      <c r="C68" t="s">
        <v>61</v>
      </c>
      <c r="D68"/>
      <c r="F68">
        <f t="shared" si="1"/>
        <v>0</v>
      </c>
      <c r="G68">
        <f t="shared" si="1"/>
        <v>0</v>
      </c>
    </row>
    <row r="69" spans="1:7" ht="64" x14ac:dyDescent="0.2">
      <c r="A69" s="3" t="s">
        <v>3603</v>
      </c>
      <c r="B69" s="3" t="s">
        <v>3738</v>
      </c>
      <c r="C69" t="s">
        <v>6</v>
      </c>
      <c r="D69"/>
      <c r="F69">
        <f t="shared" si="1"/>
        <v>0</v>
      </c>
      <c r="G69">
        <f t="shared" si="1"/>
        <v>0</v>
      </c>
    </row>
    <row r="70" spans="1:7" ht="48" x14ac:dyDescent="0.2">
      <c r="A70" s="3" t="s">
        <v>3604</v>
      </c>
      <c r="B70" s="3" t="s">
        <v>3739</v>
      </c>
      <c r="C70" t="s">
        <v>223</v>
      </c>
      <c r="D70"/>
      <c r="F70">
        <f t="shared" si="1"/>
        <v>0</v>
      </c>
      <c r="G70">
        <f t="shared" si="1"/>
        <v>0</v>
      </c>
    </row>
    <row r="71" spans="1:7" ht="64" x14ac:dyDescent="0.2">
      <c r="A71" s="3" t="s">
        <v>3605</v>
      </c>
      <c r="B71" s="3" t="s">
        <v>3740</v>
      </c>
      <c r="C71" t="s">
        <v>15</v>
      </c>
      <c r="D71"/>
      <c r="F71">
        <f t="shared" si="1"/>
        <v>0</v>
      </c>
      <c r="G71">
        <f t="shared" si="1"/>
        <v>0</v>
      </c>
    </row>
    <row r="72" spans="1:7" ht="48" x14ac:dyDescent="0.2">
      <c r="A72" s="3" t="s">
        <v>3606</v>
      </c>
      <c r="B72" s="3" t="s">
        <v>3741</v>
      </c>
      <c r="C72" t="s">
        <v>15</v>
      </c>
      <c r="D72"/>
      <c r="F72">
        <f t="shared" si="1"/>
        <v>0</v>
      </c>
      <c r="G72">
        <f t="shared" si="1"/>
        <v>0</v>
      </c>
    </row>
    <row r="73" spans="1:7" ht="64" x14ac:dyDescent="0.2">
      <c r="A73" s="3" t="s">
        <v>3607</v>
      </c>
      <c r="B73" s="3" t="s">
        <v>3742</v>
      </c>
      <c r="C73" t="s">
        <v>3656</v>
      </c>
      <c r="D73"/>
      <c r="F73">
        <f t="shared" si="1"/>
        <v>0</v>
      </c>
      <c r="G73">
        <f t="shared" si="1"/>
        <v>0</v>
      </c>
    </row>
    <row r="74" spans="1:7" ht="48" x14ac:dyDescent="0.2">
      <c r="A74" s="3" t="s">
        <v>3608</v>
      </c>
      <c r="B74" s="3" t="s">
        <v>3743</v>
      </c>
      <c r="C74" t="s">
        <v>70</v>
      </c>
      <c r="D74"/>
      <c r="F74">
        <f t="shared" si="1"/>
        <v>0</v>
      </c>
      <c r="G74">
        <f t="shared" si="1"/>
        <v>0</v>
      </c>
    </row>
    <row r="75" spans="1:7" ht="64" x14ac:dyDescent="0.2">
      <c r="A75" s="3" t="s">
        <v>3609</v>
      </c>
      <c r="B75" s="3" t="s">
        <v>3744</v>
      </c>
      <c r="C75" t="s">
        <v>3657</v>
      </c>
      <c r="D75"/>
      <c r="F75">
        <f t="shared" si="1"/>
        <v>0</v>
      </c>
      <c r="G75">
        <f t="shared" si="1"/>
        <v>0</v>
      </c>
    </row>
    <row r="76" spans="1:7" ht="48" x14ac:dyDescent="0.2">
      <c r="A76" s="3" t="s">
        <v>3610</v>
      </c>
      <c r="B76" s="3" t="s">
        <v>3745</v>
      </c>
      <c r="C76" t="s">
        <v>3658</v>
      </c>
      <c r="D76"/>
      <c r="F76">
        <f t="shared" si="1"/>
        <v>0</v>
      </c>
      <c r="G76">
        <f t="shared" si="1"/>
        <v>0</v>
      </c>
    </row>
    <row r="77" spans="1:7" ht="64" x14ac:dyDescent="0.2">
      <c r="A77" s="3" t="s">
        <v>3611</v>
      </c>
      <c r="B77" s="3" t="s">
        <v>3746</v>
      </c>
      <c r="C77" t="s">
        <v>3659</v>
      </c>
      <c r="D77"/>
      <c r="F77">
        <f t="shared" si="1"/>
        <v>0</v>
      </c>
      <c r="G77">
        <f t="shared" si="1"/>
        <v>0</v>
      </c>
    </row>
    <row r="78" spans="1:7" ht="64" x14ac:dyDescent="0.2">
      <c r="A78" s="3" t="s">
        <v>3612</v>
      </c>
      <c r="B78" s="3" t="s">
        <v>3747</v>
      </c>
      <c r="C78" t="s">
        <v>6</v>
      </c>
      <c r="D78"/>
      <c r="F78">
        <f t="shared" si="1"/>
        <v>0</v>
      </c>
      <c r="G78">
        <f t="shared" si="1"/>
        <v>0</v>
      </c>
    </row>
    <row r="79" spans="1:7" ht="64" x14ac:dyDescent="0.2">
      <c r="A79" s="3" t="s">
        <v>3613</v>
      </c>
      <c r="B79" s="3" t="s">
        <v>3748</v>
      </c>
      <c r="C79" t="s">
        <v>3660</v>
      </c>
      <c r="D79"/>
      <c r="F79">
        <f t="shared" si="1"/>
        <v>0</v>
      </c>
      <c r="G79">
        <f t="shared" si="1"/>
        <v>0</v>
      </c>
    </row>
    <row r="80" spans="1:7" ht="48" x14ac:dyDescent="0.2">
      <c r="A80" s="3" t="s">
        <v>3614</v>
      </c>
      <c r="B80" s="3" t="s">
        <v>3749</v>
      </c>
      <c r="C80" t="s">
        <v>5</v>
      </c>
      <c r="D80"/>
      <c r="F80">
        <f t="shared" si="1"/>
        <v>0</v>
      </c>
      <c r="G80">
        <f t="shared" si="1"/>
        <v>0</v>
      </c>
    </row>
    <row r="81" spans="1:7" ht="64" x14ac:dyDescent="0.2">
      <c r="A81" s="3" t="s">
        <v>3615</v>
      </c>
      <c r="B81" s="3" t="s">
        <v>3750</v>
      </c>
      <c r="C81" t="s">
        <v>11</v>
      </c>
      <c r="D81"/>
      <c r="F81">
        <f t="shared" si="1"/>
        <v>0</v>
      </c>
      <c r="G81">
        <f t="shared" si="1"/>
        <v>0</v>
      </c>
    </row>
    <row r="82" spans="1:7" ht="48" x14ac:dyDescent="0.2">
      <c r="A82" s="3" t="s">
        <v>3616</v>
      </c>
      <c r="B82" s="7" t="s">
        <v>3751</v>
      </c>
      <c r="C82" t="s">
        <v>27</v>
      </c>
      <c r="D82"/>
      <c r="F82">
        <f t="shared" si="1"/>
        <v>0</v>
      </c>
      <c r="G82">
        <f t="shared" si="1"/>
        <v>0</v>
      </c>
    </row>
    <row r="83" spans="1:7" ht="64" x14ac:dyDescent="0.2">
      <c r="A83" s="3" t="s">
        <v>3617</v>
      </c>
      <c r="B83" s="7" t="s">
        <v>3752</v>
      </c>
      <c r="C83" t="s">
        <v>3661</v>
      </c>
      <c r="D83"/>
      <c r="E83" t="s">
        <v>3772</v>
      </c>
      <c r="F83">
        <f t="shared" si="1"/>
        <v>0</v>
      </c>
      <c r="G83">
        <f t="shared" si="1"/>
        <v>1</v>
      </c>
    </row>
    <row r="84" spans="1:7" ht="48" x14ac:dyDescent="0.2">
      <c r="A84" s="3" t="s">
        <v>3618</v>
      </c>
      <c r="B84" s="7" t="s">
        <v>3753</v>
      </c>
      <c r="C84" t="s">
        <v>3662</v>
      </c>
      <c r="D84"/>
      <c r="F84">
        <f t="shared" si="1"/>
        <v>0</v>
      </c>
      <c r="G84">
        <f t="shared" si="1"/>
        <v>0</v>
      </c>
    </row>
    <row r="85" spans="1:7" ht="64" x14ac:dyDescent="0.2">
      <c r="A85" s="3" t="s">
        <v>3619</v>
      </c>
      <c r="B85" s="7" t="s">
        <v>3754</v>
      </c>
      <c r="C85" t="s">
        <v>3663</v>
      </c>
      <c r="D85"/>
      <c r="F85">
        <f t="shared" si="1"/>
        <v>0</v>
      </c>
      <c r="G85">
        <f t="shared" si="1"/>
        <v>0</v>
      </c>
    </row>
    <row r="86" spans="1:7" ht="48" x14ac:dyDescent="0.2">
      <c r="A86" s="3" t="s">
        <v>3620</v>
      </c>
      <c r="B86" s="7" t="s">
        <v>3755</v>
      </c>
      <c r="C86" t="s">
        <v>264</v>
      </c>
      <c r="D86"/>
      <c r="F86">
        <f t="shared" si="1"/>
        <v>0</v>
      </c>
      <c r="G86">
        <f t="shared" si="1"/>
        <v>0</v>
      </c>
    </row>
    <row r="87" spans="1:7" ht="48" x14ac:dyDescent="0.2">
      <c r="A87" s="3" t="s">
        <v>3621</v>
      </c>
      <c r="B87" s="7" t="s">
        <v>3756</v>
      </c>
      <c r="C87" t="s">
        <v>42</v>
      </c>
      <c r="D87"/>
      <c r="F87">
        <f t="shared" si="1"/>
        <v>0</v>
      </c>
      <c r="G87">
        <f t="shared" si="1"/>
        <v>0</v>
      </c>
    </row>
    <row r="88" spans="1:7" ht="64" x14ac:dyDescent="0.2">
      <c r="A88" s="3" t="s">
        <v>3622</v>
      </c>
      <c r="B88" s="7" t="s">
        <v>3757</v>
      </c>
      <c r="C88" t="s">
        <v>42</v>
      </c>
      <c r="D88"/>
      <c r="F88">
        <f t="shared" si="1"/>
        <v>0</v>
      </c>
      <c r="G88">
        <f t="shared" si="1"/>
        <v>0</v>
      </c>
    </row>
    <row r="89" spans="1:7" ht="64" x14ac:dyDescent="0.2">
      <c r="A89" s="3" t="s">
        <v>3623</v>
      </c>
      <c r="B89" s="7" t="s">
        <v>3758</v>
      </c>
      <c r="C89" t="s">
        <v>264</v>
      </c>
      <c r="D89"/>
      <c r="F89">
        <f t="shared" si="1"/>
        <v>0</v>
      </c>
      <c r="G89">
        <f t="shared" si="1"/>
        <v>0</v>
      </c>
    </row>
    <row r="90" spans="1:7" ht="48" x14ac:dyDescent="0.2">
      <c r="A90" s="3" t="s">
        <v>3624</v>
      </c>
      <c r="B90" s="7" t="s">
        <v>3759</v>
      </c>
      <c r="C90" t="s">
        <v>3664</v>
      </c>
      <c r="D90"/>
      <c r="F90">
        <f t="shared" si="1"/>
        <v>0</v>
      </c>
      <c r="G90">
        <f t="shared" si="1"/>
        <v>0</v>
      </c>
    </row>
    <row r="91" spans="1:7" ht="64" x14ac:dyDescent="0.2">
      <c r="A91" s="3" t="s">
        <v>3625</v>
      </c>
      <c r="B91" s="7" t="s">
        <v>3760</v>
      </c>
      <c r="C91" t="s">
        <v>5</v>
      </c>
      <c r="D91"/>
      <c r="F91">
        <f t="shared" si="1"/>
        <v>0</v>
      </c>
      <c r="G91">
        <f t="shared" si="1"/>
        <v>0</v>
      </c>
    </row>
    <row r="92" spans="1:7" ht="64" x14ac:dyDescent="0.2">
      <c r="A92" s="3" t="s">
        <v>3626</v>
      </c>
      <c r="B92" s="7" t="s">
        <v>3761</v>
      </c>
      <c r="C92" t="s">
        <v>3665</v>
      </c>
      <c r="D92"/>
      <c r="E92" t="s">
        <v>86</v>
      </c>
      <c r="F92">
        <f t="shared" si="1"/>
        <v>0</v>
      </c>
      <c r="G92">
        <f t="shared" si="1"/>
        <v>1</v>
      </c>
    </row>
    <row r="93" spans="1:7" ht="64" x14ac:dyDescent="0.2">
      <c r="A93" s="3" t="s">
        <v>3627</v>
      </c>
      <c r="B93" s="7" t="s">
        <v>3762</v>
      </c>
      <c r="C93" t="s">
        <v>3666</v>
      </c>
      <c r="D93"/>
      <c r="F93">
        <f t="shared" si="1"/>
        <v>0</v>
      </c>
      <c r="G93">
        <f t="shared" si="1"/>
        <v>0</v>
      </c>
    </row>
    <row r="94" spans="1:7" ht="48" x14ac:dyDescent="0.2">
      <c r="A94" s="3" t="s">
        <v>3628</v>
      </c>
      <c r="B94" s="7" t="s">
        <v>3763</v>
      </c>
      <c r="C94" t="s">
        <v>3667</v>
      </c>
      <c r="D94"/>
      <c r="F94">
        <f t="shared" si="1"/>
        <v>0</v>
      </c>
      <c r="G94">
        <f t="shared" si="1"/>
        <v>0</v>
      </c>
    </row>
    <row r="95" spans="1:7" ht="64" x14ac:dyDescent="0.2">
      <c r="A95" s="3" t="s">
        <v>3629</v>
      </c>
      <c r="B95" s="7" t="s">
        <v>3764</v>
      </c>
      <c r="C95" t="s">
        <v>3668</v>
      </c>
      <c r="D95"/>
      <c r="F95">
        <f t="shared" si="1"/>
        <v>0</v>
      </c>
      <c r="G95">
        <f t="shared" si="1"/>
        <v>0</v>
      </c>
    </row>
    <row r="96" spans="1:7" ht="64" x14ac:dyDescent="0.2">
      <c r="A96" s="3" t="s">
        <v>3630</v>
      </c>
      <c r="B96" s="7" t="s">
        <v>3765</v>
      </c>
      <c r="C96" t="s">
        <v>62</v>
      </c>
      <c r="D96"/>
      <c r="F96">
        <f t="shared" si="1"/>
        <v>0</v>
      </c>
      <c r="G96">
        <f t="shared" si="1"/>
        <v>0</v>
      </c>
    </row>
    <row r="97" spans="1:7" ht="64" x14ac:dyDescent="0.2">
      <c r="A97" s="3" t="s">
        <v>3631</v>
      </c>
      <c r="B97" s="7" t="s">
        <v>3766</v>
      </c>
      <c r="C97" t="s">
        <v>31</v>
      </c>
      <c r="D97"/>
      <c r="F97">
        <f t="shared" si="1"/>
        <v>0</v>
      </c>
      <c r="G97">
        <f t="shared" si="1"/>
        <v>0</v>
      </c>
    </row>
    <row r="98" spans="1:7" ht="64" x14ac:dyDescent="0.2">
      <c r="A98" s="3" t="s">
        <v>3632</v>
      </c>
      <c r="B98" s="7" t="s">
        <v>3767</v>
      </c>
      <c r="C98" t="s">
        <v>3669</v>
      </c>
      <c r="D98"/>
      <c r="E98" t="s">
        <v>3773</v>
      </c>
      <c r="F98">
        <f t="shared" si="1"/>
        <v>0</v>
      </c>
      <c r="G98">
        <f t="shared" si="1"/>
        <v>1</v>
      </c>
    </row>
    <row r="99" spans="1:7" ht="48" x14ac:dyDescent="0.2">
      <c r="A99" s="3" t="s">
        <v>3633</v>
      </c>
      <c r="B99" s="7" t="s">
        <v>3768</v>
      </c>
      <c r="C99" t="s">
        <v>15</v>
      </c>
      <c r="D99"/>
      <c r="F99">
        <f t="shared" si="1"/>
        <v>0</v>
      </c>
      <c r="G99">
        <f t="shared" si="1"/>
        <v>0</v>
      </c>
    </row>
    <row r="100" spans="1:7" ht="64" x14ac:dyDescent="0.2">
      <c r="A100" s="3" t="s">
        <v>3634</v>
      </c>
      <c r="B100" s="7" t="s">
        <v>3769</v>
      </c>
      <c r="C100" t="s">
        <v>3670</v>
      </c>
      <c r="D100"/>
      <c r="F100">
        <f t="shared" si="1"/>
        <v>0</v>
      </c>
      <c r="G100">
        <f t="shared" si="1"/>
        <v>0</v>
      </c>
    </row>
    <row r="101" spans="1:7" ht="64" x14ac:dyDescent="0.2">
      <c r="A101" s="3" t="s">
        <v>3635</v>
      </c>
      <c r="B101" s="7" t="s">
        <v>3770</v>
      </c>
      <c r="C101" t="s">
        <v>114</v>
      </c>
      <c r="D101"/>
      <c r="F101">
        <f t="shared" si="1"/>
        <v>0</v>
      </c>
      <c r="G101">
        <f t="shared" si="1"/>
        <v>0</v>
      </c>
    </row>
    <row r="103" spans="1:7" x14ac:dyDescent="0.2">
      <c r="F103" s="10">
        <f>SUM(F2:F101)</f>
        <v>0</v>
      </c>
      <c r="G103" s="10">
        <f>SUM(G2:G101)</f>
        <v>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7E11-39D8-1544-9C0F-B4F76497ACB2}">
  <dimension ref="A1:F103"/>
  <sheetViews>
    <sheetView topLeftCell="A97" zoomScale="190" zoomScaleNormal="190" workbookViewId="0">
      <selection activeCell="C35" sqref="C35"/>
    </sheetView>
  </sheetViews>
  <sheetFormatPr baseColWidth="10" defaultRowHeight="15" x14ac:dyDescent="0.2"/>
  <cols>
    <col min="1" max="1" width="54.5" style="15" customWidth="1"/>
    <col min="2" max="2" width="8.83203125"/>
    <col min="3" max="3" width="15.1640625" style="9" customWidth="1"/>
    <col min="4" max="4" width="13.33203125" customWidth="1"/>
  </cols>
  <sheetData>
    <row r="1" spans="1:6" ht="16" x14ac:dyDescent="0.2">
      <c r="A1" s="14" t="s">
        <v>0</v>
      </c>
      <c r="B1" s="1" t="s">
        <v>1</v>
      </c>
      <c r="C1" s="8" t="s">
        <v>44</v>
      </c>
      <c r="D1" s="1" t="s">
        <v>45</v>
      </c>
      <c r="E1" s="1" t="s">
        <v>44</v>
      </c>
      <c r="F1" s="1" t="s">
        <v>45</v>
      </c>
    </row>
    <row r="2" spans="1:6" ht="64" x14ac:dyDescent="0.2">
      <c r="A2" s="15" t="s">
        <v>3263</v>
      </c>
      <c r="B2" t="s">
        <v>3264</v>
      </c>
      <c r="C2"/>
      <c r="D2" t="s">
        <v>46</v>
      </c>
      <c r="E2">
        <f>IF(C2="",0,1)</f>
        <v>0</v>
      </c>
      <c r="F2">
        <f>IF(D2="",0,1)</f>
        <v>1</v>
      </c>
    </row>
    <row r="3" spans="1:6" ht="48" x14ac:dyDescent="0.2">
      <c r="A3" s="15" t="s">
        <v>3265</v>
      </c>
      <c r="B3" t="s">
        <v>3266</v>
      </c>
      <c r="C3"/>
      <c r="E3">
        <f t="shared" ref="E3:F66" si="0">IF(C3="",0,1)</f>
        <v>0</v>
      </c>
      <c r="F3">
        <f t="shared" si="0"/>
        <v>0</v>
      </c>
    </row>
    <row r="4" spans="1:6" ht="48" x14ac:dyDescent="0.2">
      <c r="A4" s="15" t="s">
        <v>3267</v>
      </c>
      <c r="B4" t="s">
        <v>3268</v>
      </c>
      <c r="C4"/>
      <c r="E4">
        <f t="shared" si="0"/>
        <v>0</v>
      </c>
      <c r="F4">
        <f t="shared" si="0"/>
        <v>0</v>
      </c>
    </row>
    <row r="5" spans="1:6" ht="48" x14ac:dyDescent="0.2">
      <c r="A5" s="15" t="s">
        <v>3269</v>
      </c>
      <c r="B5" t="s">
        <v>3270</v>
      </c>
      <c r="C5"/>
      <c r="E5">
        <f t="shared" si="0"/>
        <v>0</v>
      </c>
      <c r="F5">
        <f t="shared" si="0"/>
        <v>0</v>
      </c>
    </row>
    <row r="6" spans="1:6" ht="48" x14ac:dyDescent="0.2">
      <c r="A6" s="15" t="s">
        <v>3271</v>
      </c>
      <c r="B6" t="s">
        <v>15</v>
      </c>
      <c r="C6"/>
      <c r="E6">
        <f t="shared" si="0"/>
        <v>0</v>
      </c>
      <c r="F6">
        <f t="shared" si="0"/>
        <v>0</v>
      </c>
    </row>
    <row r="7" spans="1:6" ht="48" x14ac:dyDescent="0.2">
      <c r="A7" s="15" t="s">
        <v>3272</v>
      </c>
      <c r="B7" t="s">
        <v>204</v>
      </c>
      <c r="C7"/>
      <c r="E7">
        <f t="shared" si="0"/>
        <v>0</v>
      </c>
      <c r="F7">
        <f t="shared" si="0"/>
        <v>0</v>
      </c>
    </row>
    <row r="8" spans="1:6" ht="48" x14ac:dyDescent="0.2">
      <c r="A8" s="15" t="s">
        <v>3273</v>
      </c>
      <c r="B8" t="s">
        <v>84</v>
      </c>
      <c r="C8"/>
      <c r="D8" t="s">
        <v>48</v>
      </c>
      <c r="E8">
        <f t="shared" si="0"/>
        <v>0</v>
      </c>
      <c r="F8">
        <f t="shared" si="0"/>
        <v>1</v>
      </c>
    </row>
    <row r="9" spans="1:6" ht="16" x14ac:dyDescent="0.2">
      <c r="A9" s="15" t="s">
        <v>3274</v>
      </c>
      <c r="B9" t="s">
        <v>246</v>
      </c>
      <c r="C9"/>
      <c r="E9">
        <f t="shared" si="0"/>
        <v>0</v>
      </c>
      <c r="F9">
        <f t="shared" si="0"/>
        <v>0</v>
      </c>
    </row>
    <row r="10" spans="1:6" ht="48" x14ac:dyDescent="0.2">
      <c r="A10" s="15" t="s">
        <v>3275</v>
      </c>
      <c r="B10" t="s">
        <v>6</v>
      </c>
      <c r="C10"/>
      <c r="E10">
        <f t="shared" si="0"/>
        <v>0</v>
      </c>
      <c r="F10">
        <f t="shared" si="0"/>
        <v>0</v>
      </c>
    </row>
    <row r="11" spans="1:6" ht="16" x14ac:dyDescent="0.2">
      <c r="A11" s="15" t="s">
        <v>3276</v>
      </c>
      <c r="B11" t="s">
        <v>15</v>
      </c>
      <c r="C11"/>
      <c r="E11">
        <f t="shared" si="0"/>
        <v>0</v>
      </c>
      <c r="F11">
        <f t="shared" si="0"/>
        <v>0</v>
      </c>
    </row>
    <row r="12" spans="1:6" ht="16" x14ac:dyDescent="0.2">
      <c r="A12" s="15" t="s">
        <v>3277</v>
      </c>
      <c r="B12" t="s">
        <v>266</v>
      </c>
      <c r="C12"/>
      <c r="E12">
        <f t="shared" si="0"/>
        <v>0</v>
      </c>
      <c r="F12">
        <f t="shared" si="0"/>
        <v>0</v>
      </c>
    </row>
    <row r="13" spans="1:6" ht="48" x14ac:dyDescent="0.2">
      <c r="A13" s="15" t="s">
        <v>3278</v>
      </c>
      <c r="B13" t="s">
        <v>3279</v>
      </c>
      <c r="C13"/>
      <c r="E13">
        <f t="shared" si="0"/>
        <v>0</v>
      </c>
      <c r="F13">
        <f t="shared" si="0"/>
        <v>0</v>
      </c>
    </row>
    <row r="14" spans="1:6" ht="48" x14ac:dyDescent="0.2">
      <c r="A14" s="15" t="s">
        <v>3280</v>
      </c>
      <c r="B14" t="s">
        <v>114</v>
      </c>
      <c r="C14"/>
      <c r="E14">
        <f t="shared" si="0"/>
        <v>0</v>
      </c>
      <c r="F14">
        <f t="shared" si="0"/>
        <v>0</v>
      </c>
    </row>
    <row r="15" spans="1:6" ht="48" x14ac:dyDescent="0.2">
      <c r="A15" s="15" t="s">
        <v>3281</v>
      </c>
      <c r="B15" t="s">
        <v>232</v>
      </c>
      <c r="C15"/>
      <c r="E15">
        <f t="shared" si="0"/>
        <v>0</v>
      </c>
      <c r="F15">
        <f t="shared" si="0"/>
        <v>0</v>
      </c>
    </row>
    <row r="16" spans="1:6" ht="48" x14ac:dyDescent="0.2">
      <c r="A16" s="15" t="s">
        <v>3282</v>
      </c>
      <c r="B16" t="s">
        <v>295</v>
      </c>
      <c r="C16"/>
      <c r="D16" t="s">
        <v>3399</v>
      </c>
      <c r="E16">
        <f t="shared" si="0"/>
        <v>0</v>
      </c>
      <c r="F16">
        <f t="shared" si="0"/>
        <v>1</v>
      </c>
    </row>
    <row r="17" spans="1:6" ht="48" x14ac:dyDescent="0.2">
      <c r="A17" s="15" t="s">
        <v>3283</v>
      </c>
      <c r="B17" t="s">
        <v>66</v>
      </c>
      <c r="C17"/>
      <c r="E17">
        <f t="shared" si="0"/>
        <v>0</v>
      </c>
      <c r="F17">
        <f t="shared" si="0"/>
        <v>0</v>
      </c>
    </row>
    <row r="18" spans="1:6" ht="48" x14ac:dyDescent="0.2">
      <c r="A18" s="15" t="s">
        <v>3284</v>
      </c>
      <c r="B18" t="s">
        <v>6</v>
      </c>
      <c r="C18"/>
      <c r="E18">
        <f t="shared" si="0"/>
        <v>0</v>
      </c>
      <c r="F18">
        <f t="shared" si="0"/>
        <v>0</v>
      </c>
    </row>
    <row r="19" spans="1:6" ht="48" x14ac:dyDescent="0.2">
      <c r="A19" s="15" t="s">
        <v>3285</v>
      </c>
      <c r="B19" t="s">
        <v>268</v>
      </c>
      <c r="C19"/>
      <c r="E19">
        <f t="shared" si="0"/>
        <v>0</v>
      </c>
      <c r="F19">
        <f t="shared" si="0"/>
        <v>0</v>
      </c>
    </row>
    <row r="20" spans="1:6" ht="48" x14ac:dyDescent="0.2">
      <c r="A20" s="15" t="s">
        <v>3286</v>
      </c>
      <c r="B20" t="s">
        <v>62</v>
      </c>
      <c r="C20"/>
      <c r="E20">
        <f t="shared" si="0"/>
        <v>0</v>
      </c>
      <c r="F20">
        <f t="shared" si="0"/>
        <v>0</v>
      </c>
    </row>
    <row r="21" spans="1:6" ht="48" x14ac:dyDescent="0.2">
      <c r="A21" s="15" t="s">
        <v>3287</v>
      </c>
      <c r="B21" t="s">
        <v>17</v>
      </c>
      <c r="C21"/>
      <c r="E21">
        <f t="shared" si="0"/>
        <v>0</v>
      </c>
      <c r="F21">
        <f t="shared" si="0"/>
        <v>0</v>
      </c>
    </row>
    <row r="22" spans="1:6" ht="16" x14ac:dyDescent="0.2">
      <c r="A22" s="15" t="s">
        <v>3288</v>
      </c>
      <c r="B22" t="s">
        <v>3289</v>
      </c>
      <c r="C22"/>
      <c r="E22">
        <f t="shared" si="0"/>
        <v>0</v>
      </c>
      <c r="F22">
        <f t="shared" si="0"/>
        <v>0</v>
      </c>
    </row>
    <row r="23" spans="1:6" ht="48" x14ac:dyDescent="0.2">
      <c r="A23" s="15" t="s">
        <v>3290</v>
      </c>
      <c r="B23" t="s">
        <v>3291</v>
      </c>
      <c r="C23"/>
      <c r="E23">
        <f t="shared" si="0"/>
        <v>0</v>
      </c>
      <c r="F23">
        <f t="shared" si="0"/>
        <v>0</v>
      </c>
    </row>
    <row r="24" spans="1:6" ht="48" x14ac:dyDescent="0.2">
      <c r="A24" s="15" t="s">
        <v>3292</v>
      </c>
      <c r="B24" t="s">
        <v>6</v>
      </c>
      <c r="C24"/>
      <c r="E24">
        <f t="shared" si="0"/>
        <v>0</v>
      </c>
      <c r="F24">
        <f t="shared" si="0"/>
        <v>0</v>
      </c>
    </row>
    <row r="25" spans="1:6" ht="48" x14ac:dyDescent="0.2">
      <c r="A25" s="15" t="s">
        <v>3293</v>
      </c>
      <c r="B25" t="s">
        <v>3294</v>
      </c>
      <c r="C25"/>
      <c r="E25">
        <f t="shared" si="0"/>
        <v>0</v>
      </c>
      <c r="F25">
        <f t="shared" si="0"/>
        <v>0</v>
      </c>
    </row>
    <row r="26" spans="1:6" ht="48" x14ac:dyDescent="0.2">
      <c r="A26" s="15" t="s">
        <v>3295</v>
      </c>
      <c r="B26" t="s">
        <v>67</v>
      </c>
      <c r="C26"/>
      <c r="E26">
        <f t="shared" si="0"/>
        <v>0</v>
      </c>
      <c r="F26">
        <f t="shared" si="0"/>
        <v>0</v>
      </c>
    </row>
    <row r="27" spans="1:6" ht="32" x14ac:dyDescent="0.2">
      <c r="A27" s="15" t="s">
        <v>3296</v>
      </c>
      <c r="B27" t="s">
        <v>187</v>
      </c>
      <c r="C27"/>
      <c r="E27">
        <f t="shared" si="0"/>
        <v>0</v>
      </c>
      <c r="F27">
        <f t="shared" si="0"/>
        <v>0</v>
      </c>
    </row>
    <row r="28" spans="1:6" ht="48" x14ac:dyDescent="0.2">
      <c r="A28" s="15" t="s">
        <v>3297</v>
      </c>
      <c r="B28" t="s">
        <v>3298</v>
      </c>
      <c r="C28"/>
      <c r="E28">
        <f t="shared" si="0"/>
        <v>0</v>
      </c>
      <c r="F28">
        <f t="shared" si="0"/>
        <v>0</v>
      </c>
    </row>
    <row r="29" spans="1:6" ht="48" x14ac:dyDescent="0.2">
      <c r="A29" s="15" t="s">
        <v>3299</v>
      </c>
      <c r="B29" t="s">
        <v>5</v>
      </c>
      <c r="C29"/>
      <c r="E29">
        <f t="shared" si="0"/>
        <v>0</v>
      </c>
      <c r="F29">
        <f t="shared" si="0"/>
        <v>0</v>
      </c>
    </row>
    <row r="30" spans="1:6" ht="48" x14ac:dyDescent="0.2">
      <c r="A30" s="15" t="s">
        <v>3300</v>
      </c>
      <c r="B30" t="s">
        <v>3301</v>
      </c>
      <c r="C30"/>
      <c r="E30">
        <f t="shared" si="0"/>
        <v>0</v>
      </c>
      <c r="F30">
        <f t="shared" si="0"/>
        <v>0</v>
      </c>
    </row>
    <row r="31" spans="1:6" ht="48" x14ac:dyDescent="0.2">
      <c r="A31" s="15" t="s">
        <v>3302</v>
      </c>
      <c r="B31" t="s">
        <v>132</v>
      </c>
      <c r="C31"/>
      <c r="E31">
        <f t="shared" si="0"/>
        <v>0</v>
      </c>
      <c r="F31">
        <f t="shared" si="0"/>
        <v>0</v>
      </c>
    </row>
    <row r="32" spans="1:6" ht="48" x14ac:dyDescent="0.2">
      <c r="A32" s="15" t="s">
        <v>3303</v>
      </c>
      <c r="B32" t="s">
        <v>3304</v>
      </c>
      <c r="C32"/>
      <c r="E32">
        <f t="shared" si="0"/>
        <v>0</v>
      </c>
      <c r="F32">
        <f t="shared" si="0"/>
        <v>0</v>
      </c>
    </row>
    <row r="33" spans="1:6" ht="48" x14ac:dyDescent="0.2">
      <c r="A33" s="15" t="s">
        <v>3305</v>
      </c>
      <c r="B33" t="s">
        <v>3306</v>
      </c>
      <c r="C33"/>
      <c r="E33">
        <f t="shared" si="0"/>
        <v>0</v>
      </c>
      <c r="F33">
        <f t="shared" si="0"/>
        <v>0</v>
      </c>
    </row>
    <row r="34" spans="1:6" ht="48" x14ac:dyDescent="0.2">
      <c r="A34" s="15" t="s">
        <v>3307</v>
      </c>
      <c r="B34" t="s">
        <v>17</v>
      </c>
      <c r="C34"/>
      <c r="E34">
        <f t="shared" si="0"/>
        <v>0</v>
      </c>
      <c r="F34">
        <f t="shared" si="0"/>
        <v>0</v>
      </c>
    </row>
    <row r="35" spans="1:6" ht="48" x14ac:dyDescent="0.2">
      <c r="A35" s="15" t="s">
        <v>3308</v>
      </c>
      <c r="B35" t="s">
        <v>3309</v>
      </c>
      <c r="C35"/>
      <c r="E35">
        <f t="shared" si="0"/>
        <v>0</v>
      </c>
      <c r="F35">
        <f t="shared" si="0"/>
        <v>0</v>
      </c>
    </row>
    <row r="36" spans="1:6" ht="48" x14ac:dyDescent="0.2">
      <c r="A36" s="15" t="s">
        <v>3310</v>
      </c>
      <c r="B36" t="s">
        <v>1602</v>
      </c>
      <c r="C36"/>
      <c r="E36">
        <f t="shared" si="0"/>
        <v>0</v>
      </c>
      <c r="F36">
        <f t="shared" si="0"/>
        <v>0</v>
      </c>
    </row>
    <row r="37" spans="1:6" ht="48" x14ac:dyDescent="0.2">
      <c r="A37" s="15" t="s">
        <v>244</v>
      </c>
      <c r="B37" t="s">
        <v>79</v>
      </c>
      <c r="C37"/>
      <c r="E37">
        <f t="shared" si="0"/>
        <v>0</v>
      </c>
      <c r="F37">
        <f t="shared" si="0"/>
        <v>0</v>
      </c>
    </row>
    <row r="38" spans="1:6" ht="48" x14ac:dyDescent="0.2">
      <c r="A38" s="15" t="s">
        <v>3311</v>
      </c>
      <c r="B38" t="s">
        <v>3312</v>
      </c>
      <c r="C38"/>
      <c r="E38">
        <f t="shared" si="0"/>
        <v>0</v>
      </c>
      <c r="F38">
        <f t="shared" si="0"/>
        <v>0</v>
      </c>
    </row>
    <row r="39" spans="1:6" ht="48" x14ac:dyDescent="0.2">
      <c r="A39" s="15" t="s">
        <v>3313</v>
      </c>
      <c r="B39" t="s">
        <v>3314</v>
      </c>
      <c r="C39"/>
      <c r="E39">
        <f t="shared" si="0"/>
        <v>0</v>
      </c>
      <c r="F39">
        <f t="shared" si="0"/>
        <v>0</v>
      </c>
    </row>
    <row r="40" spans="1:6" ht="32" x14ac:dyDescent="0.2">
      <c r="A40" s="15" t="s">
        <v>3315</v>
      </c>
      <c r="B40" t="s">
        <v>2098</v>
      </c>
      <c r="C40"/>
      <c r="E40">
        <f t="shared" si="0"/>
        <v>0</v>
      </c>
      <c r="F40">
        <f t="shared" si="0"/>
        <v>0</v>
      </c>
    </row>
    <row r="41" spans="1:6" ht="16" x14ac:dyDescent="0.2">
      <c r="A41" s="15" t="s">
        <v>3316</v>
      </c>
      <c r="B41" t="s">
        <v>17</v>
      </c>
      <c r="C41"/>
      <c r="E41">
        <f t="shared" si="0"/>
        <v>0</v>
      </c>
      <c r="F41">
        <f t="shared" si="0"/>
        <v>0</v>
      </c>
    </row>
    <row r="42" spans="1:6" ht="16" x14ac:dyDescent="0.2">
      <c r="A42" s="15" t="s">
        <v>3317</v>
      </c>
      <c r="B42" t="s">
        <v>3318</v>
      </c>
      <c r="C42"/>
      <c r="E42">
        <f t="shared" si="0"/>
        <v>0</v>
      </c>
      <c r="F42">
        <f t="shared" si="0"/>
        <v>0</v>
      </c>
    </row>
    <row r="43" spans="1:6" ht="48" x14ac:dyDescent="0.2">
      <c r="A43" s="15" t="s">
        <v>3319</v>
      </c>
      <c r="B43" t="s">
        <v>3320</v>
      </c>
      <c r="C43"/>
      <c r="E43">
        <f t="shared" si="0"/>
        <v>0</v>
      </c>
      <c r="F43">
        <f t="shared" si="0"/>
        <v>0</v>
      </c>
    </row>
    <row r="44" spans="1:6" ht="16" x14ac:dyDescent="0.2">
      <c r="A44" s="15" t="s">
        <v>3321</v>
      </c>
      <c r="B44" t="s">
        <v>3322</v>
      </c>
      <c r="C44"/>
      <c r="E44">
        <f t="shared" si="0"/>
        <v>0</v>
      </c>
      <c r="F44">
        <f t="shared" si="0"/>
        <v>0</v>
      </c>
    </row>
    <row r="45" spans="1:6" ht="48" x14ac:dyDescent="0.2">
      <c r="A45" s="15" t="s">
        <v>3323</v>
      </c>
      <c r="B45" t="s">
        <v>137</v>
      </c>
      <c r="C45"/>
      <c r="E45">
        <f t="shared" si="0"/>
        <v>0</v>
      </c>
      <c r="F45">
        <f t="shared" si="0"/>
        <v>0</v>
      </c>
    </row>
    <row r="46" spans="1:6" ht="48" x14ac:dyDescent="0.2">
      <c r="A46" s="15" t="s">
        <v>3324</v>
      </c>
      <c r="B46" t="s">
        <v>247</v>
      </c>
      <c r="C46"/>
      <c r="E46">
        <f t="shared" si="0"/>
        <v>0</v>
      </c>
      <c r="F46">
        <f t="shared" si="0"/>
        <v>0</v>
      </c>
    </row>
    <row r="47" spans="1:6" ht="48" x14ac:dyDescent="0.2">
      <c r="A47" s="15" t="s">
        <v>3325</v>
      </c>
      <c r="B47" t="s">
        <v>77</v>
      </c>
      <c r="C47"/>
      <c r="E47">
        <f t="shared" si="0"/>
        <v>0</v>
      </c>
      <c r="F47">
        <f t="shared" si="0"/>
        <v>0</v>
      </c>
    </row>
    <row r="48" spans="1:6" ht="48" x14ac:dyDescent="0.2">
      <c r="A48" s="15" t="s">
        <v>3326</v>
      </c>
      <c r="B48" t="s">
        <v>291</v>
      </c>
      <c r="C48"/>
      <c r="E48">
        <f t="shared" si="0"/>
        <v>0</v>
      </c>
      <c r="F48">
        <f t="shared" si="0"/>
        <v>0</v>
      </c>
    </row>
    <row r="49" spans="1:6" ht="48" x14ac:dyDescent="0.2">
      <c r="A49" s="15" t="s">
        <v>3327</v>
      </c>
      <c r="B49" t="s">
        <v>662</v>
      </c>
      <c r="C49"/>
      <c r="E49">
        <f t="shared" si="0"/>
        <v>0</v>
      </c>
      <c r="F49">
        <f t="shared" si="0"/>
        <v>0</v>
      </c>
    </row>
    <row r="50" spans="1:6" ht="16" x14ac:dyDescent="0.2">
      <c r="A50" s="15" t="s">
        <v>3328</v>
      </c>
      <c r="B50" t="s">
        <v>416</v>
      </c>
      <c r="C50"/>
      <c r="E50">
        <f t="shared" si="0"/>
        <v>0</v>
      </c>
      <c r="F50">
        <f t="shared" si="0"/>
        <v>0</v>
      </c>
    </row>
    <row r="51" spans="1:6" ht="48" x14ac:dyDescent="0.2">
      <c r="A51" s="15" t="s">
        <v>3329</v>
      </c>
      <c r="B51" t="s">
        <v>84</v>
      </c>
      <c r="C51"/>
      <c r="D51" t="s">
        <v>48</v>
      </c>
      <c r="E51">
        <f t="shared" si="0"/>
        <v>0</v>
      </c>
      <c r="F51">
        <f t="shared" si="0"/>
        <v>1</v>
      </c>
    </row>
    <row r="52" spans="1:6" ht="48" x14ac:dyDescent="0.2">
      <c r="A52" s="15" t="s">
        <v>3330</v>
      </c>
      <c r="B52" t="s">
        <v>3331</v>
      </c>
      <c r="C52"/>
      <c r="E52">
        <f t="shared" si="0"/>
        <v>0</v>
      </c>
      <c r="F52">
        <f t="shared" si="0"/>
        <v>0</v>
      </c>
    </row>
    <row r="53" spans="1:6" ht="48" x14ac:dyDescent="0.2">
      <c r="A53" s="15" t="s">
        <v>3332</v>
      </c>
      <c r="B53" t="s">
        <v>3333</v>
      </c>
      <c r="C53"/>
      <c r="E53">
        <f t="shared" si="0"/>
        <v>0</v>
      </c>
      <c r="F53">
        <f t="shared" si="0"/>
        <v>0</v>
      </c>
    </row>
    <row r="54" spans="1:6" ht="32" x14ac:dyDescent="0.2">
      <c r="A54" s="15" t="s">
        <v>3334</v>
      </c>
      <c r="B54" t="s">
        <v>11</v>
      </c>
      <c r="C54"/>
      <c r="E54">
        <f t="shared" si="0"/>
        <v>0</v>
      </c>
      <c r="F54">
        <f t="shared" si="0"/>
        <v>0</v>
      </c>
    </row>
    <row r="55" spans="1:6" ht="16" x14ac:dyDescent="0.2">
      <c r="A55" s="15" t="s">
        <v>3335</v>
      </c>
      <c r="B55" t="s">
        <v>3336</v>
      </c>
      <c r="C55"/>
      <c r="E55">
        <f t="shared" si="0"/>
        <v>0</v>
      </c>
      <c r="F55">
        <f t="shared" si="0"/>
        <v>0</v>
      </c>
    </row>
    <row r="56" spans="1:6" ht="48" x14ac:dyDescent="0.2">
      <c r="A56" s="15" t="s">
        <v>3337</v>
      </c>
      <c r="B56" t="s">
        <v>1161</v>
      </c>
      <c r="C56"/>
      <c r="E56">
        <f t="shared" si="0"/>
        <v>0</v>
      </c>
      <c r="F56">
        <f t="shared" si="0"/>
        <v>0</v>
      </c>
    </row>
    <row r="57" spans="1:6" ht="48" x14ac:dyDescent="0.2">
      <c r="A57" s="15" t="s">
        <v>3338</v>
      </c>
      <c r="B57" t="s">
        <v>137</v>
      </c>
      <c r="C57"/>
      <c r="E57">
        <f t="shared" si="0"/>
        <v>0</v>
      </c>
      <c r="F57">
        <f t="shared" si="0"/>
        <v>0</v>
      </c>
    </row>
    <row r="58" spans="1:6" ht="48" x14ac:dyDescent="0.2">
      <c r="A58" s="15" t="s">
        <v>3339</v>
      </c>
      <c r="B58" t="s">
        <v>3340</v>
      </c>
      <c r="C58"/>
      <c r="E58">
        <f t="shared" si="0"/>
        <v>0</v>
      </c>
      <c r="F58">
        <f t="shared" si="0"/>
        <v>0</v>
      </c>
    </row>
    <row r="59" spans="1:6" ht="48" x14ac:dyDescent="0.2">
      <c r="A59" s="15" t="s">
        <v>3341</v>
      </c>
      <c r="B59" t="s">
        <v>15</v>
      </c>
      <c r="C59"/>
      <c r="E59">
        <f t="shared" si="0"/>
        <v>0</v>
      </c>
      <c r="F59">
        <f t="shared" si="0"/>
        <v>0</v>
      </c>
    </row>
    <row r="60" spans="1:6" ht="48" x14ac:dyDescent="0.2">
      <c r="A60" s="15" t="s">
        <v>3342</v>
      </c>
      <c r="B60" t="s">
        <v>3343</v>
      </c>
      <c r="C60"/>
      <c r="E60">
        <f t="shared" si="0"/>
        <v>0</v>
      </c>
      <c r="F60">
        <f t="shared" si="0"/>
        <v>0</v>
      </c>
    </row>
    <row r="61" spans="1:6" ht="48" x14ac:dyDescent="0.2">
      <c r="A61" s="15" t="s">
        <v>3344</v>
      </c>
      <c r="B61" t="s">
        <v>266</v>
      </c>
      <c r="C61"/>
      <c r="E61">
        <f t="shared" si="0"/>
        <v>0</v>
      </c>
      <c r="F61">
        <f t="shared" si="0"/>
        <v>0</v>
      </c>
    </row>
    <row r="62" spans="1:6" ht="48" x14ac:dyDescent="0.2">
      <c r="A62" s="15" t="s">
        <v>3345</v>
      </c>
      <c r="B62" t="s">
        <v>3346</v>
      </c>
      <c r="C62"/>
      <c r="E62">
        <f t="shared" si="0"/>
        <v>0</v>
      </c>
      <c r="F62">
        <f t="shared" si="0"/>
        <v>0</v>
      </c>
    </row>
    <row r="63" spans="1:6" ht="48" x14ac:dyDescent="0.2">
      <c r="A63" s="15" t="s">
        <v>3347</v>
      </c>
      <c r="B63" t="s">
        <v>5</v>
      </c>
      <c r="C63"/>
      <c r="E63">
        <f t="shared" si="0"/>
        <v>0</v>
      </c>
      <c r="F63">
        <f t="shared" si="0"/>
        <v>0</v>
      </c>
    </row>
    <row r="64" spans="1:6" ht="16" x14ac:dyDescent="0.2">
      <c r="A64" s="15" t="s">
        <v>3348</v>
      </c>
      <c r="B64" t="s">
        <v>238</v>
      </c>
      <c r="C64"/>
      <c r="E64">
        <f t="shared" si="0"/>
        <v>0</v>
      </c>
      <c r="F64">
        <f t="shared" si="0"/>
        <v>0</v>
      </c>
    </row>
    <row r="65" spans="1:6" ht="48" x14ac:dyDescent="0.2">
      <c r="A65" s="15" t="s">
        <v>3349</v>
      </c>
      <c r="B65" t="s">
        <v>37</v>
      </c>
      <c r="C65"/>
      <c r="E65">
        <f t="shared" si="0"/>
        <v>0</v>
      </c>
      <c r="F65">
        <f t="shared" si="0"/>
        <v>0</v>
      </c>
    </row>
    <row r="66" spans="1:6" ht="48" x14ac:dyDescent="0.2">
      <c r="A66" s="15" t="s">
        <v>3350</v>
      </c>
      <c r="B66" t="s">
        <v>30</v>
      </c>
      <c r="C66"/>
      <c r="E66">
        <f t="shared" si="0"/>
        <v>0</v>
      </c>
      <c r="F66">
        <f t="shared" si="0"/>
        <v>0</v>
      </c>
    </row>
    <row r="67" spans="1:6" ht="32" x14ac:dyDescent="0.2">
      <c r="A67" s="15" t="s">
        <v>3351</v>
      </c>
      <c r="B67" t="s">
        <v>11</v>
      </c>
      <c r="C67"/>
      <c r="E67">
        <f t="shared" ref="E67:F101" si="1">IF(C67="",0,1)</f>
        <v>0</v>
      </c>
      <c r="F67">
        <f t="shared" si="1"/>
        <v>0</v>
      </c>
    </row>
    <row r="68" spans="1:6" ht="48" x14ac:dyDescent="0.2">
      <c r="A68" s="15" t="s">
        <v>3352</v>
      </c>
      <c r="B68" t="s">
        <v>3353</v>
      </c>
      <c r="C68"/>
      <c r="E68">
        <f t="shared" si="1"/>
        <v>0</v>
      </c>
      <c r="F68">
        <f t="shared" si="1"/>
        <v>0</v>
      </c>
    </row>
    <row r="69" spans="1:6" ht="48" x14ac:dyDescent="0.2">
      <c r="A69" s="15" t="s">
        <v>3354</v>
      </c>
      <c r="B69" t="s">
        <v>7</v>
      </c>
      <c r="C69"/>
      <c r="E69">
        <f t="shared" si="1"/>
        <v>0</v>
      </c>
      <c r="F69">
        <f t="shared" si="1"/>
        <v>0</v>
      </c>
    </row>
    <row r="70" spans="1:6" ht="48" x14ac:dyDescent="0.2">
      <c r="A70" s="15" t="s">
        <v>3355</v>
      </c>
      <c r="B70" t="s">
        <v>11</v>
      </c>
      <c r="C70"/>
      <c r="E70">
        <f t="shared" si="1"/>
        <v>0</v>
      </c>
      <c r="F70">
        <f t="shared" si="1"/>
        <v>0</v>
      </c>
    </row>
    <row r="71" spans="1:6" ht="48" x14ac:dyDescent="0.2">
      <c r="A71" s="15" t="s">
        <v>3356</v>
      </c>
      <c r="B71" t="s">
        <v>42</v>
      </c>
      <c r="C71"/>
      <c r="E71">
        <f t="shared" si="1"/>
        <v>0</v>
      </c>
      <c r="F71">
        <f t="shared" si="1"/>
        <v>0</v>
      </c>
    </row>
    <row r="72" spans="1:6" ht="48" x14ac:dyDescent="0.2">
      <c r="A72" s="15" t="s">
        <v>3357</v>
      </c>
      <c r="B72" t="s">
        <v>3358</v>
      </c>
      <c r="C72"/>
      <c r="E72">
        <f t="shared" si="1"/>
        <v>0</v>
      </c>
      <c r="F72">
        <f t="shared" si="1"/>
        <v>0</v>
      </c>
    </row>
    <row r="73" spans="1:6" ht="48" x14ac:dyDescent="0.2">
      <c r="A73" s="15" t="s">
        <v>3359</v>
      </c>
      <c r="B73" t="s">
        <v>3150</v>
      </c>
      <c r="C73"/>
      <c r="E73">
        <f t="shared" si="1"/>
        <v>0</v>
      </c>
      <c r="F73">
        <f t="shared" si="1"/>
        <v>0</v>
      </c>
    </row>
    <row r="74" spans="1:6" ht="48" x14ac:dyDescent="0.2">
      <c r="A74" s="15" t="s">
        <v>3360</v>
      </c>
      <c r="B74" t="s">
        <v>7</v>
      </c>
      <c r="C74"/>
      <c r="D74" t="s">
        <v>86</v>
      </c>
      <c r="E74">
        <f t="shared" si="1"/>
        <v>0</v>
      </c>
      <c r="F74">
        <f t="shared" si="1"/>
        <v>1</v>
      </c>
    </row>
    <row r="75" spans="1:6" ht="48" x14ac:dyDescent="0.2">
      <c r="A75" s="15" t="s">
        <v>3361</v>
      </c>
      <c r="B75" t="s">
        <v>271</v>
      </c>
      <c r="C75"/>
      <c r="E75">
        <f t="shared" si="1"/>
        <v>0</v>
      </c>
      <c r="F75">
        <f t="shared" si="1"/>
        <v>0</v>
      </c>
    </row>
    <row r="76" spans="1:6" ht="16" x14ac:dyDescent="0.2">
      <c r="A76" s="15" t="s">
        <v>3362</v>
      </c>
      <c r="B76" t="s">
        <v>3363</v>
      </c>
      <c r="C76"/>
      <c r="E76">
        <f t="shared" si="1"/>
        <v>0</v>
      </c>
      <c r="F76">
        <f t="shared" si="1"/>
        <v>0</v>
      </c>
    </row>
    <row r="77" spans="1:6" ht="16" x14ac:dyDescent="0.2">
      <c r="A77" s="15" t="s">
        <v>3364</v>
      </c>
      <c r="B77" t="s">
        <v>247</v>
      </c>
      <c r="C77"/>
      <c r="E77">
        <f t="shared" si="1"/>
        <v>0</v>
      </c>
      <c r="F77">
        <f t="shared" si="1"/>
        <v>0</v>
      </c>
    </row>
    <row r="78" spans="1:6" ht="48" x14ac:dyDescent="0.2">
      <c r="A78" s="15" t="s">
        <v>3365</v>
      </c>
      <c r="B78" t="s">
        <v>3366</v>
      </c>
      <c r="C78"/>
      <c r="E78">
        <f t="shared" si="1"/>
        <v>0</v>
      </c>
      <c r="F78">
        <f t="shared" si="1"/>
        <v>0</v>
      </c>
    </row>
    <row r="79" spans="1:6" ht="48" x14ac:dyDescent="0.2">
      <c r="A79" s="15" t="s">
        <v>3367</v>
      </c>
      <c r="B79" t="s">
        <v>3368</v>
      </c>
      <c r="C79"/>
      <c r="E79">
        <f t="shared" si="1"/>
        <v>0</v>
      </c>
      <c r="F79">
        <f t="shared" si="1"/>
        <v>0</v>
      </c>
    </row>
    <row r="80" spans="1:6" ht="32" x14ac:dyDescent="0.2">
      <c r="A80" s="15" t="s">
        <v>3369</v>
      </c>
      <c r="B80" t="s">
        <v>3370</v>
      </c>
      <c r="C80"/>
      <c r="E80">
        <f t="shared" si="1"/>
        <v>0</v>
      </c>
      <c r="F80">
        <f t="shared" si="1"/>
        <v>0</v>
      </c>
    </row>
    <row r="81" spans="1:6" ht="48" x14ac:dyDescent="0.2">
      <c r="A81" s="15" t="s">
        <v>3371</v>
      </c>
      <c r="B81" t="s">
        <v>61</v>
      </c>
      <c r="C81"/>
      <c r="E81">
        <f t="shared" si="1"/>
        <v>0</v>
      </c>
      <c r="F81">
        <f t="shared" si="1"/>
        <v>0</v>
      </c>
    </row>
    <row r="82" spans="1:6" ht="16" x14ac:dyDescent="0.2">
      <c r="A82" s="15" t="s">
        <v>3372</v>
      </c>
      <c r="B82" t="s">
        <v>165</v>
      </c>
      <c r="C82"/>
      <c r="E82">
        <f t="shared" si="1"/>
        <v>0</v>
      </c>
      <c r="F82">
        <f t="shared" si="1"/>
        <v>0</v>
      </c>
    </row>
    <row r="83" spans="1:6" ht="16" x14ac:dyDescent="0.2">
      <c r="A83" s="15" t="s">
        <v>3373</v>
      </c>
      <c r="B83" t="s">
        <v>14</v>
      </c>
      <c r="C83"/>
      <c r="E83">
        <f t="shared" si="1"/>
        <v>0</v>
      </c>
      <c r="F83">
        <f t="shared" si="1"/>
        <v>0</v>
      </c>
    </row>
    <row r="84" spans="1:6" ht="48" x14ac:dyDescent="0.2">
      <c r="A84" s="15" t="s">
        <v>3374</v>
      </c>
      <c r="B84" t="s">
        <v>3375</v>
      </c>
      <c r="C84"/>
      <c r="E84">
        <f t="shared" si="1"/>
        <v>0</v>
      </c>
      <c r="F84">
        <f t="shared" si="1"/>
        <v>0</v>
      </c>
    </row>
    <row r="85" spans="1:6" ht="48" x14ac:dyDescent="0.2">
      <c r="A85" s="15" t="s">
        <v>3376</v>
      </c>
      <c r="B85" t="s">
        <v>105</v>
      </c>
      <c r="C85"/>
      <c r="E85">
        <f t="shared" si="1"/>
        <v>0</v>
      </c>
      <c r="F85">
        <f t="shared" si="1"/>
        <v>0</v>
      </c>
    </row>
    <row r="86" spans="1:6" ht="32" x14ac:dyDescent="0.2">
      <c r="A86" s="15" t="s">
        <v>3377</v>
      </c>
      <c r="B86" t="s">
        <v>3378</v>
      </c>
      <c r="C86"/>
      <c r="D86" t="s">
        <v>88</v>
      </c>
      <c r="E86">
        <f t="shared" si="1"/>
        <v>0</v>
      </c>
      <c r="F86">
        <f t="shared" si="1"/>
        <v>1</v>
      </c>
    </row>
    <row r="87" spans="1:6" ht="32" x14ac:dyDescent="0.2">
      <c r="A87" s="15" t="s">
        <v>3379</v>
      </c>
      <c r="B87" t="s">
        <v>3380</v>
      </c>
      <c r="C87"/>
      <c r="E87">
        <f t="shared" si="1"/>
        <v>0</v>
      </c>
      <c r="F87">
        <f t="shared" si="1"/>
        <v>0</v>
      </c>
    </row>
    <row r="88" spans="1:6" ht="48" x14ac:dyDescent="0.2">
      <c r="A88" s="15" t="s">
        <v>3381</v>
      </c>
      <c r="B88" t="s">
        <v>2704</v>
      </c>
      <c r="C88"/>
      <c r="E88">
        <f t="shared" si="1"/>
        <v>0</v>
      </c>
      <c r="F88">
        <f t="shared" si="1"/>
        <v>0</v>
      </c>
    </row>
    <row r="89" spans="1:6" ht="48" x14ac:dyDescent="0.2">
      <c r="A89" s="15" t="s">
        <v>3382</v>
      </c>
      <c r="B89" t="s">
        <v>3383</v>
      </c>
      <c r="C89"/>
      <c r="E89">
        <f t="shared" si="1"/>
        <v>0</v>
      </c>
      <c r="F89">
        <f t="shared" si="1"/>
        <v>0</v>
      </c>
    </row>
    <row r="90" spans="1:6" ht="48" x14ac:dyDescent="0.2">
      <c r="A90" s="15" t="s">
        <v>3384</v>
      </c>
      <c r="B90" t="s">
        <v>20</v>
      </c>
      <c r="C90"/>
      <c r="E90">
        <f t="shared" si="1"/>
        <v>0</v>
      </c>
      <c r="F90">
        <f t="shared" si="1"/>
        <v>0</v>
      </c>
    </row>
    <row r="91" spans="1:6" ht="32" x14ac:dyDescent="0.2">
      <c r="A91" s="15" t="s">
        <v>3385</v>
      </c>
      <c r="B91" t="s">
        <v>3386</v>
      </c>
      <c r="C91"/>
      <c r="E91">
        <f t="shared" si="1"/>
        <v>0</v>
      </c>
      <c r="F91">
        <f t="shared" si="1"/>
        <v>0</v>
      </c>
    </row>
    <row r="92" spans="1:6" ht="48" x14ac:dyDescent="0.2">
      <c r="A92" s="15" t="s">
        <v>3387</v>
      </c>
      <c r="B92" t="s">
        <v>2</v>
      </c>
      <c r="C92"/>
      <c r="E92">
        <f t="shared" si="1"/>
        <v>0</v>
      </c>
      <c r="F92">
        <f t="shared" si="1"/>
        <v>0</v>
      </c>
    </row>
    <row r="93" spans="1:6" ht="48" x14ac:dyDescent="0.2">
      <c r="A93" s="15" t="s">
        <v>3388</v>
      </c>
      <c r="B93" t="s">
        <v>15</v>
      </c>
      <c r="C93"/>
      <c r="E93">
        <f t="shared" si="1"/>
        <v>0</v>
      </c>
      <c r="F93">
        <f t="shared" si="1"/>
        <v>0</v>
      </c>
    </row>
    <row r="94" spans="1:6" ht="16" x14ac:dyDescent="0.2">
      <c r="A94" s="15" t="s">
        <v>3389</v>
      </c>
      <c r="B94" t="s">
        <v>102</v>
      </c>
      <c r="C94"/>
      <c r="E94">
        <f t="shared" si="1"/>
        <v>0</v>
      </c>
      <c r="F94">
        <f t="shared" si="1"/>
        <v>0</v>
      </c>
    </row>
    <row r="95" spans="1:6" ht="48" x14ac:dyDescent="0.2">
      <c r="A95" s="15" t="s">
        <v>3390</v>
      </c>
      <c r="B95" t="s">
        <v>2094</v>
      </c>
      <c r="C95"/>
      <c r="D95" t="s">
        <v>3400</v>
      </c>
      <c r="E95">
        <f t="shared" si="1"/>
        <v>0</v>
      </c>
      <c r="F95">
        <f t="shared" si="1"/>
        <v>1</v>
      </c>
    </row>
    <row r="96" spans="1:6" ht="48" x14ac:dyDescent="0.2">
      <c r="A96" s="15" t="s">
        <v>3391</v>
      </c>
      <c r="B96" t="s">
        <v>127</v>
      </c>
      <c r="C96"/>
      <c r="E96">
        <f t="shared" si="1"/>
        <v>0</v>
      </c>
      <c r="F96">
        <f t="shared" si="1"/>
        <v>0</v>
      </c>
    </row>
    <row r="97" spans="1:6" ht="48" x14ac:dyDescent="0.2">
      <c r="A97" s="15" t="s">
        <v>3392</v>
      </c>
      <c r="B97" t="s">
        <v>5</v>
      </c>
      <c r="C97"/>
      <c r="E97">
        <f t="shared" si="1"/>
        <v>0</v>
      </c>
      <c r="F97">
        <f t="shared" si="1"/>
        <v>0</v>
      </c>
    </row>
    <row r="98" spans="1:6" ht="32" x14ac:dyDescent="0.2">
      <c r="A98" s="15" t="s">
        <v>3393</v>
      </c>
      <c r="B98" t="s">
        <v>3394</v>
      </c>
      <c r="C98"/>
      <c r="E98">
        <f t="shared" si="1"/>
        <v>0</v>
      </c>
      <c r="F98">
        <f t="shared" si="1"/>
        <v>0</v>
      </c>
    </row>
    <row r="99" spans="1:6" ht="48" x14ac:dyDescent="0.2">
      <c r="A99" s="15" t="s">
        <v>3395</v>
      </c>
      <c r="B99" t="s">
        <v>135</v>
      </c>
      <c r="C99"/>
      <c r="E99">
        <f t="shared" si="1"/>
        <v>0</v>
      </c>
      <c r="F99">
        <f t="shared" si="1"/>
        <v>0</v>
      </c>
    </row>
    <row r="100" spans="1:6" ht="16" x14ac:dyDescent="0.2">
      <c r="A100" s="15" t="s">
        <v>3396</v>
      </c>
      <c r="B100" t="s">
        <v>62</v>
      </c>
      <c r="C100"/>
      <c r="E100">
        <f t="shared" si="1"/>
        <v>0</v>
      </c>
      <c r="F100">
        <f t="shared" si="1"/>
        <v>0</v>
      </c>
    </row>
    <row r="101" spans="1:6" ht="48" x14ac:dyDescent="0.2">
      <c r="A101" s="15" t="s">
        <v>3397</v>
      </c>
      <c r="B101" t="s">
        <v>3398</v>
      </c>
      <c r="C101"/>
      <c r="E101">
        <f t="shared" si="1"/>
        <v>0</v>
      </c>
      <c r="F101">
        <f t="shared" si="1"/>
        <v>0</v>
      </c>
    </row>
    <row r="103" spans="1:6" x14ac:dyDescent="0.2">
      <c r="E103" s="10">
        <f>SUM(E2:E101)</f>
        <v>0</v>
      </c>
      <c r="F103" s="10">
        <f>SUM(F2:F101)</f>
        <v>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C4DC7-191B-9442-8459-CB7A88F9A87C}">
  <dimension ref="A1:G103"/>
  <sheetViews>
    <sheetView topLeftCell="A94" zoomScale="180" zoomScaleNormal="180" workbookViewId="0">
      <selection activeCell="D101" sqref="D101"/>
    </sheetView>
  </sheetViews>
  <sheetFormatPr baseColWidth="10" defaultRowHeight="15" x14ac:dyDescent="0.2"/>
  <cols>
    <col min="1" max="1" width="2.33203125" style="3" customWidth="1"/>
    <col min="2" max="2" width="50.6640625" style="3" customWidth="1"/>
    <col min="3" max="3" width="16.5" customWidth="1"/>
    <col min="4" max="4" width="15.1640625" style="9" customWidth="1"/>
    <col min="5" max="5" width="13.33203125" customWidth="1"/>
  </cols>
  <sheetData>
    <row r="1" spans="1:7" ht="16" x14ac:dyDescent="0.2">
      <c r="A1" s="2"/>
      <c r="B1" s="2" t="s">
        <v>0</v>
      </c>
      <c r="C1" s="1" t="s">
        <v>1</v>
      </c>
      <c r="D1" s="8" t="s">
        <v>44</v>
      </c>
      <c r="E1" s="1" t="s">
        <v>45</v>
      </c>
      <c r="F1" s="1" t="s">
        <v>44</v>
      </c>
      <c r="G1" s="1" t="s">
        <v>45</v>
      </c>
    </row>
    <row r="2" spans="1:7" ht="32" x14ac:dyDescent="0.2">
      <c r="B2" s="3" t="s">
        <v>3401</v>
      </c>
      <c r="C2" t="s">
        <v>3402</v>
      </c>
      <c r="D2"/>
      <c r="F2">
        <f>IF(D2="",0,1)</f>
        <v>0</v>
      </c>
      <c r="G2">
        <f>IF(E2="",0,1)</f>
        <v>0</v>
      </c>
    </row>
    <row r="3" spans="1:7" ht="48" x14ac:dyDescent="0.2">
      <c r="B3" s="3" t="s">
        <v>3403</v>
      </c>
      <c r="C3" t="s">
        <v>79</v>
      </c>
      <c r="D3"/>
      <c r="F3">
        <f t="shared" ref="F3:G66" si="0">IF(D3="",0,1)</f>
        <v>0</v>
      </c>
      <c r="G3">
        <f t="shared" si="0"/>
        <v>0</v>
      </c>
    </row>
    <row r="4" spans="1:7" ht="48" x14ac:dyDescent="0.2">
      <c r="B4" s="3" t="s">
        <v>3404</v>
      </c>
      <c r="C4" t="s">
        <v>184</v>
      </c>
      <c r="D4"/>
      <c r="E4" t="s">
        <v>69</v>
      </c>
      <c r="F4">
        <f t="shared" si="0"/>
        <v>0</v>
      </c>
      <c r="G4">
        <v>2</v>
      </c>
    </row>
    <row r="5" spans="1:7" ht="48" x14ac:dyDescent="0.2">
      <c r="B5" s="3" t="s">
        <v>3405</v>
      </c>
      <c r="C5" t="s">
        <v>131</v>
      </c>
      <c r="D5"/>
      <c r="F5">
        <f t="shared" si="0"/>
        <v>0</v>
      </c>
      <c r="G5">
        <f t="shared" si="0"/>
        <v>0</v>
      </c>
    </row>
    <row r="6" spans="1:7" ht="48" x14ac:dyDescent="0.2">
      <c r="B6" s="3" t="s">
        <v>3406</v>
      </c>
      <c r="C6" t="s">
        <v>3407</v>
      </c>
      <c r="D6"/>
      <c r="F6">
        <f t="shared" si="0"/>
        <v>0</v>
      </c>
      <c r="G6">
        <f t="shared" si="0"/>
        <v>0</v>
      </c>
    </row>
    <row r="7" spans="1:7" ht="48" x14ac:dyDescent="0.2">
      <c r="B7" s="3" t="s">
        <v>3408</v>
      </c>
      <c r="C7" t="s">
        <v>5</v>
      </c>
      <c r="D7"/>
      <c r="F7">
        <f t="shared" si="0"/>
        <v>0</v>
      </c>
      <c r="G7">
        <f t="shared" si="0"/>
        <v>0</v>
      </c>
    </row>
    <row r="8" spans="1:7" ht="48" x14ac:dyDescent="0.2">
      <c r="B8" s="3" t="s">
        <v>3409</v>
      </c>
      <c r="C8" t="s">
        <v>122</v>
      </c>
      <c r="D8"/>
      <c r="F8">
        <f t="shared" si="0"/>
        <v>0</v>
      </c>
      <c r="G8">
        <f t="shared" si="0"/>
        <v>0</v>
      </c>
    </row>
    <row r="9" spans="1:7" ht="48" x14ac:dyDescent="0.2">
      <c r="B9" s="3" t="s">
        <v>3410</v>
      </c>
      <c r="C9" t="s">
        <v>3411</v>
      </c>
      <c r="D9"/>
      <c r="F9">
        <f t="shared" si="0"/>
        <v>0</v>
      </c>
      <c r="G9">
        <f t="shared" si="0"/>
        <v>0</v>
      </c>
    </row>
    <row r="10" spans="1:7" ht="48" x14ac:dyDescent="0.2">
      <c r="B10" s="3" t="s">
        <v>3412</v>
      </c>
      <c r="C10" t="s">
        <v>3413</v>
      </c>
      <c r="D10"/>
      <c r="F10">
        <f t="shared" si="0"/>
        <v>0</v>
      </c>
      <c r="G10">
        <f t="shared" si="0"/>
        <v>0</v>
      </c>
    </row>
    <row r="11" spans="1:7" ht="48" x14ac:dyDescent="0.2">
      <c r="B11" s="3" t="s">
        <v>3414</v>
      </c>
      <c r="C11" t="s">
        <v>229</v>
      </c>
      <c r="D11"/>
      <c r="E11" t="s">
        <v>48</v>
      </c>
      <c r="F11">
        <f t="shared" si="0"/>
        <v>0</v>
      </c>
      <c r="G11">
        <f t="shared" si="0"/>
        <v>1</v>
      </c>
    </row>
    <row r="12" spans="1:7" ht="48" x14ac:dyDescent="0.2">
      <c r="B12" s="3" t="s">
        <v>3415</v>
      </c>
      <c r="C12" t="s">
        <v>62</v>
      </c>
      <c r="D12"/>
      <c r="F12">
        <f t="shared" si="0"/>
        <v>0</v>
      </c>
      <c r="G12">
        <f t="shared" si="0"/>
        <v>0</v>
      </c>
    </row>
    <row r="13" spans="1:7" ht="48" x14ac:dyDescent="0.2">
      <c r="B13" s="3" t="s">
        <v>3416</v>
      </c>
      <c r="C13" t="s">
        <v>5</v>
      </c>
      <c r="D13"/>
      <c r="F13">
        <f t="shared" si="0"/>
        <v>0</v>
      </c>
      <c r="G13">
        <f t="shared" si="0"/>
        <v>0</v>
      </c>
    </row>
    <row r="14" spans="1:7" ht="48" x14ac:dyDescent="0.2">
      <c r="B14" s="3" t="s">
        <v>3417</v>
      </c>
      <c r="C14" t="s">
        <v>37</v>
      </c>
      <c r="D14"/>
      <c r="F14">
        <f t="shared" si="0"/>
        <v>0</v>
      </c>
      <c r="G14">
        <f t="shared" si="0"/>
        <v>0</v>
      </c>
    </row>
    <row r="15" spans="1:7" ht="64" x14ac:dyDescent="0.2">
      <c r="B15" s="3" t="s">
        <v>3418</v>
      </c>
      <c r="C15" t="s">
        <v>3419</v>
      </c>
      <c r="D15"/>
      <c r="F15">
        <f t="shared" si="0"/>
        <v>0</v>
      </c>
      <c r="G15">
        <f t="shared" si="0"/>
        <v>0</v>
      </c>
    </row>
    <row r="16" spans="1:7" ht="48" x14ac:dyDescent="0.2">
      <c r="B16" s="3" t="s">
        <v>3420</v>
      </c>
      <c r="C16" t="s">
        <v>294</v>
      </c>
      <c r="D16"/>
      <c r="F16">
        <f t="shared" si="0"/>
        <v>0</v>
      </c>
      <c r="G16">
        <f t="shared" si="0"/>
        <v>0</v>
      </c>
    </row>
    <row r="17" spans="2:7" ht="48" x14ac:dyDescent="0.2">
      <c r="B17" s="3" t="s">
        <v>3421</v>
      </c>
      <c r="C17" t="s">
        <v>15</v>
      </c>
      <c r="D17"/>
      <c r="F17">
        <f t="shared" si="0"/>
        <v>0</v>
      </c>
      <c r="G17">
        <f t="shared" si="0"/>
        <v>0</v>
      </c>
    </row>
    <row r="18" spans="2:7" ht="48" x14ac:dyDescent="0.2">
      <c r="B18" s="3" t="s">
        <v>3422</v>
      </c>
      <c r="C18" t="s">
        <v>15</v>
      </c>
      <c r="D18"/>
      <c r="F18">
        <f t="shared" si="0"/>
        <v>0</v>
      </c>
      <c r="G18">
        <f t="shared" si="0"/>
        <v>0</v>
      </c>
    </row>
    <row r="19" spans="2:7" ht="48" x14ac:dyDescent="0.2">
      <c r="B19" s="3" t="s">
        <v>3423</v>
      </c>
      <c r="C19" t="s">
        <v>3424</v>
      </c>
      <c r="D19"/>
      <c r="F19">
        <f t="shared" si="0"/>
        <v>0</v>
      </c>
      <c r="G19">
        <f t="shared" si="0"/>
        <v>0</v>
      </c>
    </row>
    <row r="20" spans="2:7" ht="16" x14ac:dyDescent="0.2">
      <c r="B20" s="3" t="s">
        <v>3425</v>
      </c>
      <c r="C20" t="s">
        <v>5</v>
      </c>
      <c r="D20"/>
      <c r="F20">
        <f t="shared" si="0"/>
        <v>0</v>
      </c>
      <c r="G20">
        <f t="shared" si="0"/>
        <v>0</v>
      </c>
    </row>
    <row r="21" spans="2:7" ht="48" x14ac:dyDescent="0.2">
      <c r="B21" s="3" t="s">
        <v>3426</v>
      </c>
      <c r="C21" t="s">
        <v>68</v>
      </c>
      <c r="D21"/>
      <c r="F21">
        <f t="shared" si="0"/>
        <v>0</v>
      </c>
      <c r="G21">
        <f t="shared" si="0"/>
        <v>0</v>
      </c>
    </row>
    <row r="22" spans="2:7" ht="32" x14ac:dyDescent="0.2">
      <c r="B22" s="3" t="s">
        <v>3427</v>
      </c>
      <c r="C22" t="s">
        <v>131</v>
      </c>
      <c r="D22"/>
      <c r="F22">
        <f t="shared" si="0"/>
        <v>0</v>
      </c>
      <c r="G22">
        <f t="shared" si="0"/>
        <v>0</v>
      </c>
    </row>
    <row r="23" spans="2:7" ht="48" x14ac:dyDescent="0.2">
      <c r="B23" s="3" t="s">
        <v>3428</v>
      </c>
      <c r="C23" t="s">
        <v>4</v>
      </c>
      <c r="D23"/>
      <c r="F23">
        <f t="shared" si="0"/>
        <v>0</v>
      </c>
      <c r="G23">
        <f t="shared" si="0"/>
        <v>0</v>
      </c>
    </row>
    <row r="24" spans="2:7" ht="48" x14ac:dyDescent="0.2">
      <c r="B24" s="3" t="s">
        <v>3429</v>
      </c>
      <c r="C24" t="s">
        <v>6</v>
      </c>
      <c r="D24"/>
      <c r="F24">
        <f t="shared" si="0"/>
        <v>0</v>
      </c>
      <c r="G24">
        <f t="shared" si="0"/>
        <v>0</v>
      </c>
    </row>
    <row r="25" spans="2:7" ht="48" x14ac:dyDescent="0.2">
      <c r="B25" s="3" t="s">
        <v>3430</v>
      </c>
      <c r="C25" t="s">
        <v>131</v>
      </c>
      <c r="D25"/>
      <c r="F25">
        <f t="shared" si="0"/>
        <v>0</v>
      </c>
      <c r="G25">
        <f t="shared" si="0"/>
        <v>0</v>
      </c>
    </row>
    <row r="26" spans="2:7" ht="48" x14ac:dyDescent="0.2">
      <c r="B26" s="3" t="s">
        <v>3431</v>
      </c>
      <c r="C26" t="s">
        <v>3432</v>
      </c>
      <c r="D26"/>
      <c r="F26">
        <f t="shared" si="0"/>
        <v>0</v>
      </c>
      <c r="G26">
        <f t="shared" si="0"/>
        <v>0</v>
      </c>
    </row>
    <row r="27" spans="2:7" ht="48" x14ac:dyDescent="0.2">
      <c r="B27" s="3" t="s">
        <v>3433</v>
      </c>
      <c r="C27" t="s">
        <v>2703</v>
      </c>
      <c r="D27"/>
      <c r="F27">
        <f t="shared" si="0"/>
        <v>0</v>
      </c>
      <c r="G27">
        <f t="shared" si="0"/>
        <v>0</v>
      </c>
    </row>
    <row r="28" spans="2:7" ht="64" x14ac:dyDescent="0.2">
      <c r="B28" s="3" t="s">
        <v>3434</v>
      </c>
      <c r="C28" t="s">
        <v>72</v>
      </c>
      <c r="D28"/>
      <c r="F28">
        <f t="shared" si="0"/>
        <v>0</v>
      </c>
      <c r="G28">
        <f t="shared" si="0"/>
        <v>0</v>
      </c>
    </row>
    <row r="29" spans="2:7" ht="48" x14ac:dyDescent="0.2">
      <c r="B29" s="3" t="s">
        <v>3435</v>
      </c>
      <c r="C29" t="s">
        <v>3436</v>
      </c>
      <c r="D29"/>
      <c r="F29">
        <f t="shared" si="0"/>
        <v>0</v>
      </c>
      <c r="G29">
        <f t="shared" si="0"/>
        <v>0</v>
      </c>
    </row>
    <row r="30" spans="2:7" ht="48" x14ac:dyDescent="0.2">
      <c r="B30" s="3" t="s">
        <v>3437</v>
      </c>
      <c r="C30" t="s">
        <v>6</v>
      </c>
      <c r="D30"/>
      <c r="F30">
        <f t="shared" si="0"/>
        <v>0</v>
      </c>
      <c r="G30">
        <f t="shared" si="0"/>
        <v>0</v>
      </c>
    </row>
    <row r="31" spans="2:7" ht="48" x14ac:dyDescent="0.2">
      <c r="B31" s="3" t="s">
        <v>3438</v>
      </c>
      <c r="C31" t="s">
        <v>1134</v>
      </c>
      <c r="D31"/>
      <c r="F31">
        <f t="shared" si="0"/>
        <v>0</v>
      </c>
      <c r="G31">
        <f t="shared" si="0"/>
        <v>0</v>
      </c>
    </row>
    <row r="32" spans="2:7" ht="48" x14ac:dyDescent="0.2">
      <c r="B32" s="3" t="s">
        <v>3439</v>
      </c>
      <c r="C32" t="s">
        <v>3440</v>
      </c>
      <c r="D32"/>
      <c r="F32">
        <f t="shared" si="0"/>
        <v>0</v>
      </c>
      <c r="G32">
        <f t="shared" si="0"/>
        <v>0</v>
      </c>
    </row>
    <row r="33" spans="2:7" ht="48" x14ac:dyDescent="0.2">
      <c r="B33" s="3" t="s">
        <v>3441</v>
      </c>
      <c r="C33" t="s">
        <v>7</v>
      </c>
      <c r="D33"/>
      <c r="F33">
        <f t="shared" si="0"/>
        <v>0</v>
      </c>
      <c r="G33">
        <f t="shared" si="0"/>
        <v>0</v>
      </c>
    </row>
    <row r="34" spans="2:7" ht="48" x14ac:dyDescent="0.2">
      <c r="B34" s="3" t="s">
        <v>3442</v>
      </c>
      <c r="C34" t="s">
        <v>3443</v>
      </c>
      <c r="D34"/>
      <c r="F34">
        <f t="shared" si="0"/>
        <v>0</v>
      </c>
      <c r="G34">
        <f t="shared" si="0"/>
        <v>0</v>
      </c>
    </row>
    <row r="35" spans="2:7" ht="48" x14ac:dyDescent="0.2">
      <c r="B35" s="3" t="s">
        <v>3444</v>
      </c>
      <c r="C35" t="s">
        <v>3445</v>
      </c>
      <c r="D35"/>
      <c r="E35" t="s">
        <v>48</v>
      </c>
      <c r="F35">
        <f t="shared" si="0"/>
        <v>0</v>
      </c>
      <c r="G35">
        <f t="shared" si="0"/>
        <v>1</v>
      </c>
    </row>
    <row r="36" spans="2:7" ht="64" x14ac:dyDescent="0.2">
      <c r="B36" s="3" t="s">
        <v>3446</v>
      </c>
      <c r="C36" t="s">
        <v>3447</v>
      </c>
      <c r="D36"/>
      <c r="F36">
        <f t="shared" si="0"/>
        <v>0</v>
      </c>
      <c r="G36">
        <f t="shared" si="0"/>
        <v>0</v>
      </c>
    </row>
    <row r="37" spans="2:7" ht="48" x14ac:dyDescent="0.2">
      <c r="B37" s="3" t="s">
        <v>3448</v>
      </c>
      <c r="C37" t="s">
        <v>5</v>
      </c>
      <c r="D37"/>
      <c r="F37">
        <f t="shared" si="0"/>
        <v>0</v>
      </c>
      <c r="G37">
        <f t="shared" si="0"/>
        <v>0</v>
      </c>
    </row>
    <row r="38" spans="2:7" ht="48" x14ac:dyDescent="0.2">
      <c r="B38" s="3" t="s">
        <v>3449</v>
      </c>
      <c r="C38" t="s">
        <v>114</v>
      </c>
      <c r="D38"/>
      <c r="F38">
        <f t="shared" si="0"/>
        <v>0</v>
      </c>
      <c r="G38">
        <f t="shared" si="0"/>
        <v>0</v>
      </c>
    </row>
    <row r="39" spans="2:7" ht="48" x14ac:dyDescent="0.2">
      <c r="B39" s="3" t="s">
        <v>3450</v>
      </c>
      <c r="C39" t="s">
        <v>5</v>
      </c>
      <c r="D39"/>
      <c r="F39">
        <f t="shared" si="0"/>
        <v>0</v>
      </c>
      <c r="G39">
        <f t="shared" si="0"/>
        <v>0</v>
      </c>
    </row>
    <row r="40" spans="2:7" ht="48" x14ac:dyDescent="0.2">
      <c r="B40" s="3" t="s">
        <v>3451</v>
      </c>
      <c r="C40" t="s">
        <v>127</v>
      </c>
      <c r="D40"/>
      <c r="F40">
        <f t="shared" si="0"/>
        <v>0</v>
      </c>
      <c r="G40">
        <f t="shared" si="0"/>
        <v>0</v>
      </c>
    </row>
    <row r="41" spans="2:7" ht="48" x14ac:dyDescent="0.2">
      <c r="B41" s="3" t="s">
        <v>3452</v>
      </c>
      <c r="C41" t="s">
        <v>125</v>
      </c>
      <c r="D41"/>
      <c r="F41">
        <f t="shared" si="0"/>
        <v>0</v>
      </c>
      <c r="G41">
        <f t="shared" si="0"/>
        <v>0</v>
      </c>
    </row>
    <row r="42" spans="2:7" ht="64" x14ac:dyDescent="0.2">
      <c r="B42" s="3" t="s">
        <v>3453</v>
      </c>
      <c r="C42" t="s">
        <v>15</v>
      </c>
      <c r="D42"/>
      <c r="F42">
        <f t="shared" si="0"/>
        <v>0</v>
      </c>
      <c r="G42">
        <f t="shared" si="0"/>
        <v>0</v>
      </c>
    </row>
    <row r="43" spans="2:7" ht="48" x14ac:dyDescent="0.2">
      <c r="B43" s="3" t="s">
        <v>3454</v>
      </c>
      <c r="C43" t="s">
        <v>3455</v>
      </c>
      <c r="D43"/>
      <c r="F43">
        <f t="shared" si="0"/>
        <v>0</v>
      </c>
      <c r="G43">
        <f t="shared" si="0"/>
        <v>0</v>
      </c>
    </row>
    <row r="44" spans="2:7" ht="16" x14ac:dyDescent="0.2">
      <c r="B44" s="3" t="s">
        <v>3456</v>
      </c>
      <c r="C44" t="s">
        <v>3457</v>
      </c>
      <c r="D44"/>
      <c r="F44">
        <f t="shared" si="0"/>
        <v>0</v>
      </c>
      <c r="G44">
        <f t="shared" si="0"/>
        <v>0</v>
      </c>
    </row>
    <row r="45" spans="2:7" ht="48" x14ac:dyDescent="0.2">
      <c r="B45" s="3" t="s">
        <v>3458</v>
      </c>
      <c r="C45" t="s">
        <v>3459</v>
      </c>
      <c r="D45"/>
      <c r="F45">
        <f t="shared" si="0"/>
        <v>0</v>
      </c>
      <c r="G45">
        <f t="shared" si="0"/>
        <v>0</v>
      </c>
    </row>
    <row r="46" spans="2:7" ht="48" x14ac:dyDescent="0.2">
      <c r="B46" s="3" t="s">
        <v>3460</v>
      </c>
      <c r="C46" t="s">
        <v>21</v>
      </c>
      <c r="D46"/>
      <c r="F46">
        <f t="shared" si="0"/>
        <v>0</v>
      </c>
      <c r="G46">
        <f t="shared" si="0"/>
        <v>0</v>
      </c>
    </row>
    <row r="47" spans="2:7" ht="48" x14ac:dyDescent="0.2">
      <c r="B47" s="3" t="s">
        <v>3461</v>
      </c>
      <c r="C47" t="s">
        <v>3462</v>
      </c>
      <c r="D47"/>
      <c r="F47">
        <f t="shared" si="0"/>
        <v>0</v>
      </c>
      <c r="G47">
        <f t="shared" si="0"/>
        <v>0</v>
      </c>
    </row>
    <row r="48" spans="2:7" ht="48" x14ac:dyDescent="0.2">
      <c r="B48" s="3" t="s">
        <v>3463</v>
      </c>
      <c r="C48" t="s">
        <v>185</v>
      </c>
      <c r="D48"/>
      <c r="F48">
        <f t="shared" si="0"/>
        <v>0</v>
      </c>
      <c r="G48">
        <f t="shared" si="0"/>
        <v>0</v>
      </c>
    </row>
    <row r="49" spans="2:7" ht="48" x14ac:dyDescent="0.2">
      <c r="B49" s="3" t="s">
        <v>3464</v>
      </c>
      <c r="C49" t="s">
        <v>3465</v>
      </c>
      <c r="D49"/>
      <c r="F49">
        <f t="shared" si="0"/>
        <v>0</v>
      </c>
      <c r="G49">
        <f t="shared" si="0"/>
        <v>0</v>
      </c>
    </row>
    <row r="50" spans="2:7" ht="48" x14ac:dyDescent="0.2">
      <c r="B50" s="3" t="s">
        <v>3466</v>
      </c>
      <c r="C50" t="s">
        <v>15</v>
      </c>
      <c r="D50"/>
      <c r="F50">
        <f t="shared" si="0"/>
        <v>0</v>
      </c>
      <c r="G50">
        <f t="shared" si="0"/>
        <v>0</v>
      </c>
    </row>
    <row r="51" spans="2:7" ht="48" x14ac:dyDescent="0.2">
      <c r="B51" s="3" t="s">
        <v>3467</v>
      </c>
      <c r="C51" t="s">
        <v>3468</v>
      </c>
      <c r="D51"/>
      <c r="F51">
        <f t="shared" si="0"/>
        <v>0</v>
      </c>
      <c r="G51">
        <f t="shared" si="0"/>
        <v>0</v>
      </c>
    </row>
    <row r="52" spans="2:7" ht="48" x14ac:dyDescent="0.2">
      <c r="B52" s="3" t="s">
        <v>3469</v>
      </c>
      <c r="C52" t="s">
        <v>131</v>
      </c>
      <c r="D52"/>
      <c r="F52">
        <f t="shared" si="0"/>
        <v>0</v>
      </c>
      <c r="G52">
        <f t="shared" si="0"/>
        <v>0</v>
      </c>
    </row>
    <row r="53" spans="2:7" ht="48" x14ac:dyDescent="0.2">
      <c r="B53" s="3" t="s">
        <v>3470</v>
      </c>
      <c r="C53" t="s">
        <v>3471</v>
      </c>
      <c r="D53"/>
      <c r="F53">
        <f t="shared" si="0"/>
        <v>0</v>
      </c>
      <c r="G53">
        <f t="shared" si="0"/>
        <v>0</v>
      </c>
    </row>
    <row r="54" spans="2:7" ht="48" x14ac:dyDescent="0.2">
      <c r="B54" s="3" t="s">
        <v>3472</v>
      </c>
      <c r="C54" t="s">
        <v>1378</v>
      </c>
      <c r="D54"/>
      <c r="F54">
        <f t="shared" si="0"/>
        <v>0</v>
      </c>
      <c r="G54">
        <f t="shared" si="0"/>
        <v>0</v>
      </c>
    </row>
    <row r="55" spans="2:7" ht="32" x14ac:dyDescent="0.2">
      <c r="B55" s="3" t="s">
        <v>3473</v>
      </c>
      <c r="C55" t="s">
        <v>17</v>
      </c>
      <c r="D55"/>
      <c r="F55">
        <f t="shared" si="0"/>
        <v>0</v>
      </c>
      <c r="G55">
        <f t="shared" si="0"/>
        <v>0</v>
      </c>
    </row>
    <row r="56" spans="2:7" ht="48" x14ac:dyDescent="0.2">
      <c r="B56" s="3" t="s">
        <v>3474</v>
      </c>
      <c r="C56" t="s">
        <v>5</v>
      </c>
      <c r="D56"/>
      <c r="F56">
        <f t="shared" si="0"/>
        <v>0</v>
      </c>
      <c r="G56">
        <f t="shared" si="0"/>
        <v>0</v>
      </c>
    </row>
    <row r="57" spans="2:7" ht="48" x14ac:dyDescent="0.2">
      <c r="B57" s="3" t="s">
        <v>3475</v>
      </c>
      <c r="C57" t="s">
        <v>17</v>
      </c>
      <c r="D57"/>
      <c r="F57">
        <f t="shared" si="0"/>
        <v>0</v>
      </c>
      <c r="G57">
        <f t="shared" si="0"/>
        <v>0</v>
      </c>
    </row>
    <row r="58" spans="2:7" ht="48" x14ac:dyDescent="0.2">
      <c r="B58" s="3" t="s">
        <v>3476</v>
      </c>
      <c r="C58" t="s">
        <v>3477</v>
      </c>
      <c r="D58"/>
      <c r="F58">
        <f t="shared" si="0"/>
        <v>0</v>
      </c>
      <c r="G58">
        <f t="shared" si="0"/>
        <v>0</v>
      </c>
    </row>
    <row r="59" spans="2:7" ht="48" x14ac:dyDescent="0.2">
      <c r="B59" s="3" t="s">
        <v>3478</v>
      </c>
      <c r="C59" t="s">
        <v>3479</v>
      </c>
      <c r="D59"/>
      <c r="F59">
        <f t="shared" si="0"/>
        <v>0</v>
      </c>
      <c r="G59">
        <f t="shared" si="0"/>
        <v>0</v>
      </c>
    </row>
    <row r="60" spans="2:7" ht="32" x14ac:dyDescent="0.2">
      <c r="B60" s="3" t="s">
        <v>3480</v>
      </c>
      <c r="C60" t="s">
        <v>3481</v>
      </c>
      <c r="D60"/>
      <c r="F60">
        <f t="shared" si="0"/>
        <v>0</v>
      </c>
      <c r="G60">
        <f t="shared" si="0"/>
        <v>0</v>
      </c>
    </row>
    <row r="61" spans="2:7" ht="48" x14ac:dyDescent="0.2">
      <c r="B61" s="3" t="s">
        <v>3482</v>
      </c>
      <c r="C61" t="s">
        <v>1150</v>
      </c>
      <c r="D61"/>
      <c r="F61">
        <f t="shared" si="0"/>
        <v>0</v>
      </c>
      <c r="G61">
        <f t="shared" si="0"/>
        <v>0</v>
      </c>
    </row>
    <row r="62" spans="2:7" ht="48" x14ac:dyDescent="0.2">
      <c r="B62" s="3" t="s">
        <v>3483</v>
      </c>
      <c r="C62" t="s">
        <v>123</v>
      </c>
      <c r="D62"/>
      <c r="F62">
        <f t="shared" si="0"/>
        <v>0</v>
      </c>
      <c r="G62">
        <f t="shared" si="0"/>
        <v>0</v>
      </c>
    </row>
    <row r="63" spans="2:7" ht="48" x14ac:dyDescent="0.2">
      <c r="B63" s="3" t="s">
        <v>3484</v>
      </c>
      <c r="C63" t="s">
        <v>19</v>
      </c>
      <c r="D63"/>
      <c r="F63">
        <f t="shared" si="0"/>
        <v>0</v>
      </c>
      <c r="G63">
        <f t="shared" si="0"/>
        <v>0</v>
      </c>
    </row>
    <row r="64" spans="2:7" ht="48" x14ac:dyDescent="0.2">
      <c r="B64" s="3" t="s">
        <v>3485</v>
      </c>
      <c r="C64" t="s">
        <v>293</v>
      </c>
      <c r="D64"/>
      <c r="F64">
        <f t="shared" si="0"/>
        <v>0</v>
      </c>
      <c r="G64">
        <f t="shared" si="0"/>
        <v>0</v>
      </c>
    </row>
    <row r="65" spans="2:7" ht="48" x14ac:dyDescent="0.2">
      <c r="B65" s="3" t="s">
        <v>3486</v>
      </c>
      <c r="C65" t="s">
        <v>1134</v>
      </c>
      <c r="D65"/>
      <c r="F65">
        <f t="shared" si="0"/>
        <v>0</v>
      </c>
      <c r="G65">
        <f t="shared" si="0"/>
        <v>0</v>
      </c>
    </row>
    <row r="66" spans="2:7" ht="48" x14ac:dyDescent="0.2">
      <c r="B66" s="3" t="s">
        <v>3487</v>
      </c>
      <c r="C66" t="s">
        <v>80</v>
      </c>
      <c r="D66"/>
      <c r="F66">
        <f t="shared" si="0"/>
        <v>0</v>
      </c>
      <c r="G66">
        <f t="shared" si="0"/>
        <v>0</v>
      </c>
    </row>
    <row r="67" spans="2:7" ht="48" x14ac:dyDescent="0.2">
      <c r="B67" s="3" t="s">
        <v>3488</v>
      </c>
      <c r="C67" t="s">
        <v>42</v>
      </c>
      <c r="D67"/>
      <c r="F67">
        <f t="shared" ref="F67:G101" si="1">IF(D67="",0,1)</f>
        <v>0</v>
      </c>
      <c r="G67">
        <f t="shared" si="1"/>
        <v>0</v>
      </c>
    </row>
    <row r="68" spans="2:7" ht="32" x14ac:dyDescent="0.2">
      <c r="B68" s="3" t="s">
        <v>3489</v>
      </c>
      <c r="C68" t="s">
        <v>3490</v>
      </c>
      <c r="D68"/>
      <c r="F68">
        <f t="shared" si="1"/>
        <v>0</v>
      </c>
      <c r="G68">
        <f t="shared" si="1"/>
        <v>0</v>
      </c>
    </row>
    <row r="69" spans="2:7" ht="48" x14ac:dyDescent="0.2">
      <c r="B69" s="3" t="s">
        <v>3491</v>
      </c>
      <c r="C69" t="s">
        <v>131</v>
      </c>
      <c r="D69"/>
      <c r="F69">
        <f t="shared" si="1"/>
        <v>0</v>
      </c>
      <c r="G69">
        <f t="shared" si="1"/>
        <v>0</v>
      </c>
    </row>
    <row r="70" spans="2:7" ht="48" x14ac:dyDescent="0.2">
      <c r="B70" s="3" t="s">
        <v>3492</v>
      </c>
      <c r="C70" t="s">
        <v>65</v>
      </c>
      <c r="D70"/>
      <c r="E70" t="s">
        <v>90</v>
      </c>
      <c r="F70">
        <f t="shared" si="1"/>
        <v>0</v>
      </c>
      <c r="G70">
        <f t="shared" si="1"/>
        <v>1</v>
      </c>
    </row>
    <row r="71" spans="2:7" ht="48" x14ac:dyDescent="0.2">
      <c r="B71" s="3" t="s">
        <v>3493</v>
      </c>
      <c r="C71" t="s">
        <v>184</v>
      </c>
      <c r="D71"/>
      <c r="F71">
        <f t="shared" si="1"/>
        <v>0</v>
      </c>
      <c r="G71">
        <f t="shared" si="1"/>
        <v>0</v>
      </c>
    </row>
    <row r="72" spans="2:7" ht="48" x14ac:dyDescent="0.2">
      <c r="B72" s="3" t="s">
        <v>3494</v>
      </c>
      <c r="C72" t="s">
        <v>2698</v>
      </c>
      <c r="D72"/>
      <c r="F72">
        <f t="shared" si="1"/>
        <v>0</v>
      </c>
      <c r="G72">
        <f t="shared" si="1"/>
        <v>0</v>
      </c>
    </row>
    <row r="73" spans="2:7" ht="48" x14ac:dyDescent="0.2">
      <c r="B73" s="3" t="s">
        <v>3495</v>
      </c>
      <c r="C73" t="s">
        <v>3496</v>
      </c>
      <c r="D73"/>
      <c r="F73">
        <f t="shared" si="1"/>
        <v>0</v>
      </c>
      <c r="G73">
        <f t="shared" si="1"/>
        <v>0</v>
      </c>
    </row>
    <row r="74" spans="2:7" ht="32" x14ac:dyDescent="0.2">
      <c r="B74" s="3" t="s">
        <v>3497</v>
      </c>
      <c r="C74" t="s">
        <v>187</v>
      </c>
      <c r="D74"/>
      <c r="F74">
        <f t="shared" si="1"/>
        <v>0</v>
      </c>
      <c r="G74">
        <f t="shared" si="1"/>
        <v>0</v>
      </c>
    </row>
    <row r="75" spans="2:7" ht="48" x14ac:dyDescent="0.2">
      <c r="B75" s="3" t="s">
        <v>3498</v>
      </c>
      <c r="C75" t="s">
        <v>3499</v>
      </c>
      <c r="D75"/>
      <c r="F75">
        <f t="shared" si="1"/>
        <v>0</v>
      </c>
      <c r="G75">
        <f t="shared" si="1"/>
        <v>0</v>
      </c>
    </row>
    <row r="76" spans="2:7" ht="48" x14ac:dyDescent="0.2">
      <c r="B76" s="3" t="s">
        <v>3500</v>
      </c>
      <c r="C76" t="s">
        <v>20</v>
      </c>
      <c r="D76"/>
      <c r="F76">
        <f t="shared" si="1"/>
        <v>0</v>
      </c>
      <c r="G76">
        <f t="shared" si="1"/>
        <v>0</v>
      </c>
    </row>
    <row r="77" spans="2:7" ht="16" x14ac:dyDescent="0.2">
      <c r="B77" s="3" t="s">
        <v>3501</v>
      </c>
      <c r="C77" t="s">
        <v>3502</v>
      </c>
      <c r="D77"/>
      <c r="F77">
        <f t="shared" si="1"/>
        <v>0</v>
      </c>
      <c r="G77">
        <f t="shared" si="1"/>
        <v>0</v>
      </c>
    </row>
    <row r="78" spans="2:7" ht="48" x14ac:dyDescent="0.2">
      <c r="B78" s="3" t="s">
        <v>3503</v>
      </c>
      <c r="C78" t="s">
        <v>3504</v>
      </c>
      <c r="D78"/>
      <c r="F78">
        <f t="shared" si="1"/>
        <v>0</v>
      </c>
      <c r="G78">
        <f t="shared" si="1"/>
        <v>0</v>
      </c>
    </row>
    <row r="79" spans="2:7" ht="48" x14ac:dyDescent="0.2">
      <c r="B79" s="3" t="s">
        <v>3505</v>
      </c>
      <c r="C79" t="s">
        <v>84</v>
      </c>
      <c r="D79"/>
      <c r="F79">
        <f t="shared" si="1"/>
        <v>0</v>
      </c>
      <c r="G79">
        <f t="shared" si="1"/>
        <v>0</v>
      </c>
    </row>
    <row r="80" spans="2:7" ht="32" x14ac:dyDescent="0.2">
      <c r="B80" s="3" t="s">
        <v>3506</v>
      </c>
      <c r="C80" t="s">
        <v>131</v>
      </c>
      <c r="D80"/>
      <c r="F80">
        <f t="shared" si="1"/>
        <v>0</v>
      </c>
      <c r="G80">
        <f t="shared" si="1"/>
        <v>0</v>
      </c>
    </row>
    <row r="81" spans="2:7" ht="32" x14ac:dyDescent="0.2">
      <c r="B81" s="3" t="s">
        <v>3507</v>
      </c>
      <c r="C81" t="s">
        <v>15</v>
      </c>
      <c r="D81"/>
      <c r="F81">
        <f t="shared" si="1"/>
        <v>0</v>
      </c>
      <c r="G81">
        <f t="shared" si="1"/>
        <v>0</v>
      </c>
    </row>
    <row r="82" spans="2:7" ht="48" x14ac:dyDescent="0.2">
      <c r="B82" s="3" t="s">
        <v>3508</v>
      </c>
      <c r="C82" t="s">
        <v>295</v>
      </c>
      <c r="D82"/>
      <c r="F82">
        <f t="shared" si="1"/>
        <v>0</v>
      </c>
      <c r="G82">
        <f t="shared" si="1"/>
        <v>0</v>
      </c>
    </row>
    <row r="83" spans="2:7" ht="48" x14ac:dyDescent="0.2">
      <c r="B83" s="3" t="s">
        <v>3509</v>
      </c>
      <c r="C83" t="s">
        <v>296</v>
      </c>
      <c r="D83"/>
      <c r="F83">
        <f t="shared" si="1"/>
        <v>0</v>
      </c>
      <c r="G83">
        <f t="shared" si="1"/>
        <v>0</v>
      </c>
    </row>
    <row r="84" spans="2:7" ht="48" x14ac:dyDescent="0.2">
      <c r="B84" s="3" t="s">
        <v>3510</v>
      </c>
      <c r="C84" t="s">
        <v>132</v>
      </c>
      <c r="D84"/>
      <c r="F84">
        <f t="shared" si="1"/>
        <v>0</v>
      </c>
      <c r="G84">
        <f t="shared" si="1"/>
        <v>0</v>
      </c>
    </row>
    <row r="85" spans="2:7" ht="48" x14ac:dyDescent="0.2">
      <c r="B85" s="3" t="s">
        <v>3511</v>
      </c>
      <c r="C85" t="s">
        <v>2</v>
      </c>
      <c r="D85"/>
      <c r="F85">
        <f t="shared" si="1"/>
        <v>0</v>
      </c>
      <c r="G85">
        <f t="shared" si="1"/>
        <v>0</v>
      </c>
    </row>
    <row r="86" spans="2:7" ht="32" x14ac:dyDescent="0.2">
      <c r="B86" s="3" t="s">
        <v>3512</v>
      </c>
      <c r="C86" t="s">
        <v>293</v>
      </c>
      <c r="D86"/>
      <c r="F86">
        <f t="shared" si="1"/>
        <v>0</v>
      </c>
      <c r="G86">
        <f t="shared" si="1"/>
        <v>0</v>
      </c>
    </row>
    <row r="87" spans="2:7" ht="48" x14ac:dyDescent="0.2">
      <c r="B87" s="3" t="s">
        <v>3513</v>
      </c>
      <c r="C87" t="s">
        <v>1855</v>
      </c>
      <c r="D87"/>
      <c r="F87">
        <f t="shared" si="1"/>
        <v>0</v>
      </c>
      <c r="G87">
        <f t="shared" si="1"/>
        <v>0</v>
      </c>
    </row>
    <row r="88" spans="2:7" ht="48" x14ac:dyDescent="0.2">
      <c r="B88" s="3" t="s">
        <v>3514</v>
      </c>
      <c r="C88" t="s">
        <v>1141</v>
      </c>
      <c r="D88"/>
      <c r="F88">
        <f t="shared" si="1"/>
        <v>0</v>
      </c>
      <c r="G88">
        <f t="shared" si="1"/>
        <v>0</v>
      </c>
    </row>
    <row r="89" spans="2:7" ht="48" x14ac:dyDescent="0.2">
      <c r="B89" s="3" t="s">
        <v>3515</v>
      </c>
      <c r="C89" t="s">
        <v>77</v>
      </c>
      <c r="D89"/>
      <c r="F89">
        <f t="shared" si="1"/>
        <v>0</v>
      </c>
      <c r="G89">
        <f t="shared" si="1"/>
        <v>0</v>
      </c>
    </row>
    <row r="90" spans="2:7" ht="48" x14ac:dyDescent="0.2">
      <c r="B90" s="3" t="s">
        <v>3516</v>
      </c>
      <c r="C90" t="s">
        <v>66</v>
      </c>
      <c r="D90"/>
      <c r="F90">
        <f t="shared" si="1"/>
        <v>0</v>
      </c>
      <c r="G90">
        <f t="shared" si="1"/>
        <v>0</v>
      </c>
    </row>
    <row r="91" spans="2:7" ht="48" x14ac:dyDescent="0.2">
      <c r="B91" s="3" t="s">
        <v>3517</v>
      </c>
      <c r="C91" t="s">
        <v>666</v>
      </c>
      <c r="D91"/>
      <c r="F91">
        <f t="shared" si="1"/>
        <v>0</v>
      </c>
      <c r="G91">
        <f t="shared" si="1"/>
        <v>0</v>
      </c>
    </row>
    <row r="92" spans="2:7" ht="64" x14ac:dyDescent="0.2">
      <c r="B92" s="3" t="s">
        <v>3518</v>
      </c>
      <c r="C92" t="s">
        <v>293</v>
      </c>
      <c r="D92"/>
      <c r="F92">
        <f t="shared" si="1"/>
        <v>0</v>
      </c>
      <c r="G92">
        <f t="shared" si="1"/>
        <v>0</v>
      </c>
    </row>
    <row r="93" spans="2:7" ht="32" x14ac:dyDescent="0.2">
      <c r="B93" s="3" t="s">
        <v>3519</v>
      </c>
      <c r="C93" t="s">
        <v>62</v>
      </c>
      <c r="D93"/>
      <c r="F93">
        <f t="shared" si="1"/>
        <v>0</v>
      </c>
      <c r="G93">
        <f t="shared" si="1"/>
        <v>0</v>
      </c>
    </row>
    <row r="94" spans="2:7" ht="48" x14ac:dyDescent="0.2">
      <c r="B94" s="3" t="s">
        <v>3520</v>
      </c>
      <c r="C94" t="s">
        <v>3521</v>
      </c>
      <c r="D94"/>
      <c r="F94">
        <f t="shared" si="1"/>
        <v>0</v>
      </c>
      <c r="G94">
        <f t="shared" si="1"/>
        <v>0</v>
      </c>
    </row>
    <row r="95" spans="2:7" ht="48" x14ac:dyDescent="0.2">
      <c r="B95" s="3" t="s">
        <v>3522</v>
      </c>
      <c r="C95" t="s">
        <v>3523</v>
      </c>
      <c r="D95"/>
      <c r="F95">
        <f t="shared" si="1"/>
        <v>0</v>
      </c>
      <c r="G95">
        <f t="shared" si="1"/>
        <v>0</v>
      </c>
    </row>
    <row r="96" spans="2:7" ht="48" x14ac:dyDescent="0.2">
      <c r="B96" s="3" t="s">
        <v>3524</v>
      </c>
      <c r="C96" t="s">
        <v>3525</v>
      </c>
      <c r="D96"/>
      <c r="F96">
        <f t="shared" si="1"/>
        <v>0</v>
      </c>
      <c r="G96">
        <f t="shared" si="1"/>
        <v>0</v>
      </c>
    </row>
    <row r="97" spans="2:7" ht="48" x14ac:dyDescent="0.2">
      <c r="B97" s="3" t="s">
        <v>3526</v>
      </c>
      <c r="C97" t="s">
        <v>3527</v>
      </c>
      <c r="D97"/>
      <c r="F97">
        <f t="shared" si="1"/>
        <v>0</v>
      </c>
      <c r="G97">
        <f t="shared" si="1"/>
        <v>0</v>
      </c>
    </row>
    <row r="98" spans="2:7" ht="48" x14ac:dyDescent="0.2">
      <c r="B98" s="3" t="s">
        <v>3528</v>
      </c>
      <c r="C98" t="s">
        <v>3529</v>
      </c>
      <c r="D98" t="s">
        <v>3533</v>
      </c>
      <c r="F98">
        <f t="shared" si="1"/>
        <v>1</v>
      </c>
      <c r="G98">
        <f t="shared" si="1"/>
        <v>0</v>
      </c>
    </row>
    <row r="99" spans="2:7" ht="48" x14ac:dyDescent="0.2">
      <c r="B99" s="3" t="s">
        <v>3530</v>
      </c>
      <c r="C99" t="s">
        <v>131</v>
      </c>
      <c r="D99"/>
      <c r="F99">
        <f t="shared" si="1"/>
        <v>0</v>
      </c>
      <c r="G99">
        <f t="shared" si="1"/>
        <v>0</v>
      </c>
    </row>
    <row r="100" spans="2:7" ht="32" x14ac:dyDescent="0.2">
      <c r="B100" s="3" t="s">
        <v>3531</v>
      </c>
      <c r="C100" t="s">
        <v>79</v>
      </c>
      <c r="D100"/>
      <c r="F100">
        <f t="shared" si="1"/>
        <v>0</v>
      </c>
      <c r="G100">
        <f t="shared" si="1"/>
        <v>0</v>
      </c>
    </row>
    <row r="101" spans="2:7" ht="48" x14ac:dyDescent="0.2">
      <c r="B101" s="3" t="s">
        <v>3532</v>
      </c>
      <c r="C101" t="s">
        <v>1391</v>
      </c>
      <c r="D101"/>
      <c r="F101">
        <f t="shared" si="1"/>
        <v>0</v>
      </c>
      <c r="G101">
        <f t="shared" si="1"/>
        <v>0</v>
      </c>
    </row>
    <row r="103" spans="2:7" x14ac:dyDescent="0.2">
      <c r="F103" s="10">
        <f>SUM(F2:F101)</f>
        <v>1</v>
      </c>
      <c r="G103" s="10">
        <f>SUM(G2:G101)</f>
        <v>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F9C20-F793-6145-B5BB-11046DE6E64D}">
  <dimension ref="A1:G103"/>
  <sheetViews>
    <sheetView topLeftCell="A96" zoomScale="216" zoomScaleNormal="216" workbookViewId="0">
      <selection activeCell="D102" sqref="D102"/>
    </sheetView>
  </sheetViews>
  <sheetFormatPr baseColWidth="10" defaultRowHeight="15" x14ac:dyDescent="0.2"/>
  <cols>
    <col min="1" max="1" width="4.6640625" style="3" customWidth="1"/>
    <col min="2" max="2" width="56.1640625" style="7" customWidth="1"/>
    <col min="4" max="4" width="15.1640625" style="9" customWidth="1"/>
    <col min="5" max="5" width="13.33203125" customWidth="1"/>
  </cols>
  <sheetData>
    <row r="1" spans="1:7" ht="16" x14ac:dyDescent="0.2">
      <c r="A1" s="2" t="s">
        <v>0</v>
      </c>
      <c r="B1" s="2" t="s">
        <v>0</v>
      </c>
      <c r="C1" s="1" t="s">
        <v>1</v>
      </c>
      <c r="D1" s="8" t="s">
        <v>44</v>
      </c>
      <c r="E1" s="1" t="s">
        <v>45</v>
      </c>
      <c r="F1" s="1" t="s">
        <v>44</v>
      </c>
      <c r="G1" s="1" t="s">
        <v>45</v>
      </c>
    </row>
    <row r="2" spans="1:7" ht="48" x14ac:dyDescent="0.2">
      <c r="B2" s="3" t="s">
        <v>3774</v>
      </c>
      <c r="C2" t="s">
        <v>3775</v>
      </c>
      <c r="D2"/>
      <c r="E2" t="s">
        <v>48</v>
      </c>
      <c r="F2">
        <f>IF(D2="",0,1)</f>
        <v>0</v>
      </c>
      <c r="G2">
        <f>IF(E2="",0,1)</f>
        <v>1</v>
      </c>
    </row>
    <row r="3" spans="1:7" ht="48" x14ac:dyDescent="0.2">
      <c r="B3" s="3" t="s">
        <v>3776</v>
      </c>
      <c r="C3" t="s">
        <v>37</v>
      </c>
      <c r="D3"/>
      <c r="F3">
        <f t="shared" ref="F3:G66" si="0">IF(D3="",0,1)</f>
        <v>0</v>
      </c>
      <c r="G3">
        <f t="shared" si="0"/>
        <v>0</v>
      </c>
    </row>
    <row r="4" spans="1:7" ht="48" x14ac:dyDescent="0.2">
      <c r="B4" s="3" t="s">
        <v>3777</v>
      </c>
      <c r="C4" t="s">
        <v>229</v>
      </c>
      <c r="D4"/>
      <c r="F4">
        <f t="shared" si="0"/>
        <v>0</v>
      </c>
      <c r="G4">
        <f t="shared" si="0"/>
        <v>0</v>
      </c>
    </row>
    <row r="5" spans="1:7" ht="48" x14ac:dyDescent="0.2">
      <c r="B5" s="3" t="s">
        <v>3778</v>
      </c>
      <c r="C5" t="s">
        <v>3779</v>
      </c>
      <c r="D5"/>
      <c r="E5" t="s">
        <v>85</v>
      </c>
      <c r="F5">
        <f t="shared" si="0"/>
        <v>0</v>
      </c>
      <c r="G5">
        <f t="shared" si="0"/>
        <v>1</v>
      </c>
    </row>
    <row r="6" spans="1:7" ht="48" x14ac:dyDescent="0.2">
      <c r="B6" s="3" t="s">
        <v>3780</v>
      </c>
      <c r="C6" t="s">
        <v>3781</v>
      </c>
      <c r="D6"/>
      <c r="F6">
        <f t="shared" si="0"/>
        <v>0</v>
      </c>
      <c r="G6">
        <f t="shared" si="0"/>
        <v>0</v>
      </c>
    </row>
    <row r="7" spans="1:7" ht="32" x14ac:dyDescent="0.2">
      <c r="B7" s="3" t="s">
        <v>3782</v>
      </c>
      <c r="C7" t="s">
        <v>67</v>
      </c>
      <c r="D7"/>
      <c r="F7">
        <f t="shared" si="0"/>
        <v>0</v>
      </c>
      <c r="G7">
        <f t="shared" si="0"/>
        <v>0</v>
      </c>
    </row>
    <row r="8" spans="1:7" ht="48" x14ac:dyDescent="0.2">
      <c r="B8" s="3" t="s">
        <v>3783</v>
      </c>
      <c r="C8" t="s">
        <v>3784</v>
      </c>
      <c r="D8"/>
      <c r="F8">
        <f t="shared" si="0"/>
        <v>0</v>
      </c>
      <c r="G8">
        <f t="shared" si="0"/>
        <v>0</v>
      </c>
    </row>
    <row r="9" spans="1:7" ht="48" x14ac:dyDescent="0.2">
      <c r="B9" s="3" t="s">
        <v>3785</v>
      </c>
      <c r="C9" t="s">
        <v>42</v>
      </c>
      <c r="D9"/>
      <c r="F9">
        <f t="shared" si="0"/>
        <v>0</v>
      </c>
      <c r="G9">
        <f t="shared" si="0"/>
        <v>0</v>
      </c>
    </row>
    <row r="10" spans="1:7" ht="32" x14ac:dyDescent="0.2">
      <c r="B10" s="3" t="s">
        <v>3786</v>
      </c>
      <c r="C10" t="s">
        <v>67</v>
      </c>
      <c r="D10"/>
      <c r="F10">
        <f t="shared" si="0"/>
        <v>0</v>
      </c>
      <c r="G10">
        <f t="shared" si="0"/>
        <v>0</v>
      </c>
    </row>
    <row r="11" spans="1:7" ht="48" x14ac:dyDescent="0.2">
      <c r="B11" s="3" t="s">
        <v>3787</v>
      </c>
      <c r="C11" t="s">
        <v>17</v>
      </c>
      <c r="D11"/>
      <c r="F11">
        <f t="shared" si="0"/>
        <v>0</v>
      </c>
      <c r="G11">
        <f t="shared" si="0"/>
        <v>0</v>
      </c>
    </row>
    <row r="12" spans="1:7" ht="48" x14ac:dyDescent="0.2">
      <c r="B12" s="3" t="s">
        <v>3788</v>
      </c>
      <c r="C12" t="s">
        <v>37</v>
      </c>
      <c r="D12"/>
      <c r="F12">
        <f t="shared" si="0"/>
        <v>0</v>
      </c>
      <c r="G12">
        <f t="shared" si="0"/>
        <v>0</v>
      </c>
    </row>
    <row r="13" spans="1:7" ht="48" x14ac:dyDescent="0.2">
      <c r="B13" s="3" t="s">
        <v>3789</v>
      </c>
      <c r="C13" t="s">
        <v>3790</v>
      </c>
      <c r="D13"/>
      <c r="F13">
        <f t="shared" si="0"/>
        <v>0</v>
      </c>
      <c r="G13">
        <f t="shared" si="0"/>
        <v>0</v>
      </c>
    </row>
    <row r="14" spans="1:7" ht="48" x14ac:dyDescent="0.2">
      <c r="B14" s="3" t="s">
        <v>3791</v>
      </c>
      <c r="C14" t="s">
        <v>3792</v>
      </c>
      <c r="D14"/>
      <c r="F14">
        <f t="shared" si="0"/>
        <v>0</v>
      </c>
      <c r="G14">
        <f t="shared" si="0"/>
        <v>0</v>
      </c>
    </row>
    <row r="15" spans="1:7" ht="32" x14ac:dyDescent="0.2">
      <c r="B15" s="3" t="s">
        <v>3793</v>
      </c>
      <c r="C15" t="s">
        <v>3794</v>
      </c>
      <c r="D15"/>
      <c r="F15">
        <f t="shared" si="0"/>
        <v>0</v>
      </c>
      <c r="G15">
        <f t="shared" si="0"/>
        <v>0</v>
      </c>
    </row>
    <row r="16" spans="1:7" ht="32" x14ac:dyDescent="0.2">
      <c r="B16" s="3" t="s">
        <v>3795</v>
      </c>
      <c r="C16" t="s">
        <v>3796</v>
      </c>
      <c r="D16"/>
      <c r="F16">
        <f t="shared" si="0"/>
        <v>0</v>
      </c>
      <c r="G16">
        <f t="shared" si="0"/>
        <v>0</v>
      </c>
    </row>
    <row r="17" spans="2:7" ht="48" x14ac:dyDescent="0.2">
      <c r="B17" s="3" t="s">
        <v>3797</v>
      </c>
      <c r="C17" t="s">
        <v>666</v>
      </c>
      <c r="D17"/>
      <c r="F17">
        <f t="shared" si="0"/>
        <v>0</v>
      </c>
      <c r="G17">
        <f t="shared" si="0"/>
        <v>0</v>
      </c>
    </row>
    <row r="18" spans="2:7" ht="48" x14ac:dyDescent="0.2">
      <c r="B18" s="3" t="s">
        <v>3798</v>
      </c>
      <c r="C18" t="s">
        <v>3471</v>
      </c>
      <c r="D18"/>
      <c r="F18">
        <f t="shared" si="0"/>
        <v>0</v>
      </c>
      <c r="G18">
        <f t="shared" si="0"/>
        <v>0</v>
      </c>
    </row>
    <row r="19" spans="2:7" ht="32" x14ac:dyDescent="0.2">
      <c r="B19" s="3" t="s">
        <v>3799</v>
      </c>
      <c r="C19" t="s">
        <v>3800</v>
      </c>
      <c r="D19"/>
      <c r="F19">
        <f t="shared" si="0"/>
        <v>0</v>
      </c>
      <c r="G19">
        <f t="shared" si="0"/>
        <v>0</v>
      </c>
    </row>
    <row r="20" spans="2:7" ht="48" x14ac:dyDescent="0.2">
      <c r="B20" s="3" t="s">
        <v>3801</v>
      </c>
      <c r="C20" t="s">
        <v>3802</v>
      </c>
      <c r="D20"/>
      <c r="F20">
        <f t="shared" si="0"/>
        <v>0</v>
      </c>
      <c r="G20">
        <f t="shared" si="0"/>
        <v>0</v>
      </c>
    </row>
    <row r="21" spans="2:7" ht="48" x14ac:dyDescent="0.2">
      <c r="B21" s="3" t="s">
        <v>3803</v>
      </c>
      <c r="C21" t="s">
        <v>3804</v>
      </c>
      <c r="D21"/>
      <c r="F21">
        <f t="shared" si="0"/>
        <v>0</v>
      </c>
      <c r="G21">
        <f t="shared" si="0"/>
        <v>0</v>
      </c>
    </row>
    <row r="22" spans="2:7" ht="48" x14ac:dyDescent="0.2">
      <c r="B22" s="3" t="s">
        <v>3805</v>
      </c>
      <c r="C22" t="s">
        <v>291</v>
      </c>
      <c r="D22"/>
      <c r="F22">
        <f t="shared" si="0"/>
        <v>0</v>
      </c>
      <c r="G22">
        <f t="shared" si="0"/>
        <v>0</v>
      </c>
    </row>
    <row r="23" spans="2:7" ht="48" x14ac:dyDescent="0.2">
      <c r="B23" s="3" t="s">
        <v>3806</v>
      </c>
      <c r="C23" t="s">
        <v>3807</v>
      </c>
      <c r="D23"/>
      <c r="F23">
        <f t="shared" si="0"/>
        <v>0</v>
      </c>
      <c r="G23">
        <f t="shared" si="0"/>
        <v>0</v>
      </c>
    </row>
    <row r="24" spans="2:7" ht="48" x14ac:dyDescent="0.2">
      <c r="B24" s="3" t="s">
        <v>3808</v>
      </c>
      <c r="C24" t="s">
        <v>3160</v>
      </c>
      <c r="D24"/>
      <c r="F24">
        <f t="shared" si="0"/>
        <v>0</v>
      </c>
      <c r="G24">
        <f t="shared" si="0"/>
        <v>0</v>
      </c>
    </row>
    <row r="25" spans="2:7" ht="48" x14ac:dyDescent="0.2">
      <c r="B25" s="3" t="s">
        <v>3809</v>
      </c>
      <c r="C25" t="s">
        <v>1132</v>
      </c>
      <c r="D25"/>
      <c r="F25">
        <f t="shared" si="0"/>
        <v>0</v>
      </c>
      <c r="G25">
        <f t="shared" si="0"/>
        <v>0</v>
      </c>
    </row>
    <row r="26" spans="2:7" ht="48" x14ac:dyDescent="0.2">
      <c r="B26" s="3" t="s">
        <v>3810</v>
      </c>
      <c r="C26" t="s">
        <v>163</v>
      </c>
      <c r="D26"/>
      <c r="F26">
        <f t="shared" si="0"/>
        <v>0</v>
      </c>
      <c r="G26">
        <f t="shared" si="0"/>
        <v>0</v>
      </c>
    </row>
    <row r="27" spans="2:7" ht="48" x14ac:dyDescent="0.2">
      <c r="B27" s="3" t="s">
        <v>3811</v>
      </c>
      <c r="C27" t="s">
        <v>3812</v>
      </c>
      <c r="D27"/>
      <c r="F27">
        <f t="shared" si="0"/>
        <v>0</v>
      </c>
      <c r="G27">
        <f t="shared" si="0"/>
        <v>0</v>
      </c>
    </row>
    <row r="28" spans="2:7" ht="32" x14ac:dyDescent="0.2">
      <c r="B28" s="3" t="s">
        <v>3813</v>
      </c>
      <c r="C28" t="s">
        <v>61</v>
      </c>
      <c r="D28"/>
      <c r="F28">
        <f t="shared" si="0"/>
        <v>0</v>
      </c>
      <c r="G28">
        <f t="shared" si="0"/>
        <v>0</v>
      </c>
    </row>
    <row r="29" spans="2:7" ht="48" x14ac:dyDescent="0.2">
      <c r="B29" s="3" t="s">
        <v>3814</v>
      </c>
      <c r="C29" t="s">
        <v>3815</v>
      </c>
      <c r="D29"/>
      <c r="F29">
        <f t="shared" si="0"/>
        <v>0</v>
      </c>
      <c r="G29">
        <f t="shared" si="0"/>
        <v>0</v>
      </c>
    </row>
    <row r="30" spans="2:7" ht="48" x14ac:dyDescent="0.2">
      <c r="B30" s="3" t="s">
        <v>3816</v>
      </c>
      <c r="C30" t="s">
        <v>2082</v>
      </c>
      <c r="D30"/>
      <c r="F30">
        <f t="shared" si="0"/>
        <v>0</v>
      </c>
      <c r="G30">
        <f t="shared" si="0"/>
        <v>0</v>
      </c>
    </row>
    <row r="31" spans="2:7" ht="48" x14ac:dyDescent="0.2">
      <c r="B31" s="3" t="s">
        <v>3817</v>
      </c>
      <c r="C31" t="s">
        <v>42</v>
      </c>
      <c r="D31"/>
      <c r="F31">
        <f t="shared" si="0"/>
        <v>0</v>
      </c>
      <c r="G31">
        <f t="shared" si="0"/>
        <v>0</v>
      </c>
    </row>
    <row r="32" spans="2:7" ht="48" x14ac:dyDescent="0.2">
      <c r="B32" s="3" t="s">
        <v>3818</v>
      </c>
      <c r="C32" t="s">
        <v>3819</v>
      </c>
      <c r="D32"/>
      <c r="F32">
        <f t="shared" si="0"/>
        <v>0</v>
      </c>
      <c r="G32">
        <f t="shared" si="0"/>
        <v>0</v>
      </c>
    </row>
    <row r="33" spans="2:7" ht="48" x14ac:dyDescent="0.2">
      <c r="B33" s="3" t="s">
        <v>3820</v>
      </c>
      <c r="C33" t="s">
        <v>15</v>
      </c>
      <c r="D33"/>
      <c r="F33">
        <f t="shared" si="0"/>
        <v>0</v>
      </c>
      <c r="G33">
        <f t="shared" si="0"/>
        <v>0</v>
      </c>
    </row>
    <row r="34" spans="2:7" ht="48" x14ac:dyDescent="0.2">
      <c r="B34" s="3" t="s">
        <v>3821</v>
      </c>
      <c r="C34" t="s">
        <v>3314</v>
      </c>
      <c r="D34"/>
      <c r="F34">
        <f t="shared" si="0"/>
        <v>0</v>
      </c>
      <c r="G34">
        <f t="shared" si="0"/>
        <v>0</v>
      </c>
    </row>
    <row r="35" spans="2:7" ht="48" x14ac:dyDescent="0.2">
      <c r="B35" s="3" t="s">
        <v>3822</v>
      </c>
      <c r="C35" t="s">
        <v>6</v>
      </c>
      <c r="D35"/>
      <c r="F35">
        <f t="shared" si="0"/>
        <v>0</v>
      </c>
      <c r="G35">
        <f t="shared" si="0"/>
        <v>0</v>
      </c>
    </row>
    <row r="36" spans="2:7" ht="32" x14ac:dyDescent="0.2">
      <c r="B36" s="3" t="s">
        <v>3823</v>
      </c>
      <c r="C36" t="s">
        <v>3824</v>
      </c>
      <c r="D36"/>
      <c r="F36">
        <f t="shared" si="0"/>
        <v>0</v>
      </c>
      <c r="G36">
        <f t="shared" si="0"/>
        <v>0</v>
      </c>
    </row>
    <row r="37" spans="2:7" ht="48" x14ac:dyDescent="0.2">
      <c r="B37" s="3" t="s">
        <v>3825</v>
      </c>
      <c r="C37" t="s">
        <v>20</v>
      </c>
      <c r="D37"/>
      <c r="E37" t="s">
        <v>259</v>
      </c>
      <c r="F37">
        <f t="shared" si="0"/>
        <v>0</v>
      </c>
      <c r="G37">
        <f t="shared" si="0"/>
        <v>1</v>
      </c>
    </row>
    <row r="38" spans="2:7" ht="48" x14ac:dyDescent="0.2">
      <c r="B38" s="3" t="s">
        <v>3826</v>
      </c>
      <c r="C38" t="s">
        <v>3827</v>
      </c>
      <c r="D38"/>
      <c r="F38">
        <f t="shared" si="0"/>
        <v>0</v>
      </c>
      <c r="G38">
        <f t="shared" si="0"/>
        <v>0</v>
      </c>
    </row>
    <row r="39" spans="2:7" ht="32" x14ac:dyDescent="0.2">
      <c r="B39" s="3" t="s">
        <v>3828</v>
      </c>
      <c r="C39" t="s">
        <v>3829</v>
      </c>
      <c r="D39"/>
      <c r="F39">
        <f t="shared" si="0"/>
        <v>0</v>
      </c>
      <c r="G39">
        <f t="shared" si="0"/>
        <v>0</v>
      </c>
    </row>
    <row r="40" spans="2:7" ht="48" x14ac:dyDescent="0.2">
      <c r="B40" s="3" t="s">
        <v>3830</v>
      </c>
      <c r="C40" t="s">
        <v>1389</v>
      </c>
      <c r="D40"/>
      <c r="F40">
        <f t="shared" si="0"/>
        <v>0</v>
      </c>
      <c r="G40">
        <f t="shared" si="0"/>
        <v>0</v>
      </c>
    </row>
    <row r="41" spans="2:7" ht="48" x14ac:dyDescent="0.2">
      <c r="B41" s="3" t="s">
        <v>3831</v>
      </c>
      <c r="C41" t="s">
        <v>3832</v>
      </c>
      <c r="D41"/>
      <c r="F41">
        <f t="shared" si="0"/>
        <v>0</v>
      </c>
      <c r="G41">
        <f t="shared" si="0"/>
        <v>0</v>
      </c>
    </row>
    <row r="42" spans="2:7" ht="48" x14ac:dyDescent="0.2">
      <c r="B42" s="3" t="s">
        <v>3833</v>
      </c>
      <c r="C42" t="s">
        <v>3834</v>
      </c>
      <c r="D42"/>
      <c r="F42">
        <f t="shared" si="0"/>
        <v>0</v>
      </c>
      <c r="G42">
        <f t="shared" si="0"/>
        <v>0</v>
      </c>
    </row>
    <row r="43" spans="2:7" ht="48" x14ac:dyDescent="0.2">
      <c r="B43" s="3" t="s">
        <v>3835</v>
      </c>
      <c r="C43" t="s">
        <v>3836</v>
      </c>
      <c r="D43"/>
      <c r="F43">
        <f t="shared" si="0"/>
        <v>0</v>
      </c>
      <c r="G43">
        <f t="shared" si="0"/>
        <v>0</v>
      </c>
    </row>
    <row r="44" spans="2:7" ht="32" x14ac:dyDescent="0.2">
      <c r="B44" s="3" t="s">
        <v>3837</v>
      </c>
      <c r="C44" t="s">
        <v>3838</v>
      </c>
      <c r="D44" t="s">
        <v>3909</v>
      </c>
      <c r="F44">
        <f t="shared" si="0"/>
        <v>1</v>
      </c>
      <c r="G44">
        <f t="shared" si="0"/>
        <v>0</v>
      </c>
    </row>
    <row r="45" spans="2:7" ht="48" x14ac:dyDescent="0.2">
      <c r="B45" s="3" t="s">
        <v>3839</v>
      </c>
      <c r="C45" t="s">
        <v>5</v>
      </c>
      <c r="D45"/>
      <c r="F45">
        <f t="shared" si="0"/>
        <v>0</v>
      </c>
      <c r="G45">
        <f t="shared" si="0"/>
        <v>0</v>
      </c>
    </row>
    <row r="46" spans="2:7" ht="48" x14ac:dyDescent="0.2">
      <c r="B46" s="3" t="s">
        <v>3840</v>
      </c>
      <c r="C46" t="s">
        <v>11</v>
      </c>
      <c r="D46"/>
      <c r="E46" t="s">
        <v>46</v>
      </c>
      <c r="F46">
        <f t="shared" si="0"/>
        <v>0</v>
      </c>
      <c r="G46">
        <f t="shared" si="0"/>
        <v>1</v>
      </c>
    </row>
    <row r="47" spans="2:7" ht="48" x14ac:dyDescent="0.2">
      <c r="B47" s="3" t="s">
        <v>3841</v>
      </c>
      <c r="C47" t="s">
        <v>20</v>
      </c>
      <c r="D47"/>
      <c r="F47">
        <f t="shared" si="0"/>
        <v>0</v>
      </c>
      <c r="G47">
        <f t="shared" si="0"/>
        <v>0</v>
      </c>
    </row>
    <row r="48" spans="2:7" ht="48" x14ac:dyDescent="0.2">
      <c r="B48" s="3" t="s">
        <v>3842</v>
      </c>
      <c r="C48" t="s">
        <v>11</v>
      </c>
      <c r="D48"/>
      <c r="F48">
        <f t="shared" si="0"/>
        <v>0</v>
      </c>
      <c r="G48">
        <f t="shared" si="0"/>
        <v>0</v>
      </c>
    </row>
    <row r="49" spans="2:7" ht="48" x14ac:dyDescent="0.2">
      <c r="B49" s="3" t="s">
        <v>3843</v>
      </c>
      <c r="C49" t="s">
        <v>3844</v>
      </c>
      <c r="D49"/>
      <c r="F49">
        <f t="shared" si="0"/>
        <v>0</v>
      </c>
      <c r="G49">
        <f t="shared" si="0"/>
        <v>0</v>
      </c>
    </row>
    <row r="50" spans="2:7" ht="48" x14ac:dyDescent="0.2">
      <c r="B50" s="3" t="s">
        <v>3845</v>
      </c>
      <c r="C50" t="s">
        <v>14</v>
      </c>
      <c r="D50"/>
      <c r="F50">
        <f t="shared" si="0"/>
        <v>0</v>
      </c>
      <c r="G50">
        <f t="shared" si="0"/>
        <v>0</v>
      </c>
    </row>
    <row r="51" spans="2:7" ht="48" x14ac:dyDescent="0.2">
      <c r="B51" s="3" t="s">
        <v>3846</v>
      </c>
      <c r="C51" t="s">
        <v>77</v>
      </c>
      <c r="D51"/>
      <c r="F51">
        <f t="shared" si="0"/>
        <v>0</v>
      </c>
      <c r="G51">
        <f t="shared" si="0"/>
        <v>0</v>
      </c>
    </row>
    <row r="52" spans="2:7" ht="48" x14ac:dyDescent="0.2">
      <c r="B52" s="3" t="s">
        <v>3847</v>
      </c>
      <c r="C52" t="s">
        <v>3664</v>
      </c>
      <c r="D52"/>
      <c r="F52">
        <f t="shared" si="0"/>
        <v>0</v>
      </c>
      <c r="G52">
        <f t="shared" si="0"/>
        <v>0</v>
      </c>
    </row>
    <row r="53" spans="2:7" ht="32" x14ac:dyDescent="0.2">
      <c r="B53" s="3" t="s">
        <v>3848</v>
      </c>
      <c r="C53" t="s">
        <v>173</v>
      </c>
      <c r="D53"/>
      <c r="F53">
        <f t="shared" si="0"/>
        <v>0</v>
      </c>
      <c r="G53">
        <f t="shared" si="0"/>
        <v>0</v>
      </c>
    </row>
    <row r="54" spans="2:7" ht="48" x14ac:dyDescent="0.2">
      <c r="B54" s="3" t="s">
        <v>3849</v>
      </c>
      <c r="C54" t="s">
        <v>3850</v>
      </c>
      <c r="D54"/>
      <c r="F54">
        <f t="shared" si="0"/>
        <v>0</v>
      </c>
      <c r="G54">
        <f t="shared" si="0"/>
        <v>0</v>
      </c>
    </row>
    <row r="55" spans="2:7" ht="48" x14ac:dyDescent="0.2">
      <c r="B55" s="3" t="s">
        <v>3851</v>
      </c>
      <c r="C55" t="s">
        <v>3160</v>
      </c>
      <c r="D55"/>
      <c r="F55">
        <f t="shared" si="0"/>
        <v>0</v>
      </c>
      <c r="G55">
        <f t="shared" si="0"/>
        <v>0</v>
      </c>
    </row>
    <row r="56" spans="2:7" ht="48" x14ac:dyDescent="0.2">
      <c r="B56" s="3" t="s">
        <v>3852</v>
      </c>
      <c r="C56" t="s">
        <v>3853</v>
      </c>
      <c r="D56"/>
      <c r="F56">
        <f t="shared" si="0"/>
        <v>0</v>
      </c>
      <c r="G56">
        <f t="shared" si="0"/>
        <v>0</v>
      </c>
    </row>
    <row r="57" spans="2:7" ht="32" x14ac:dyDescent="0.2">
      <c r="B57" s="3" t="s">
        <v>3854</v>
      </c>
      <c r="C57" t="s">
        <v>42</v>
      </c>
      <c r="D57"/>
      <c r="F57">
        <f t="shared" si="0"/>
        <v>0</v>
      </c>
      <c r="G57">
        <f t="shared" si="0"/>
        <v>0</v>
      </c>
    </row>
    <row r="58" spans="2:7" ht="48" x14ac:dyDescent="0.2">
      <c r="B58" s="3" t="s">
        <v>3855</v>
      </c>
      <c r="C58" t="s">
        <v>132</v>
      </c>
      <c r="D58"/>
      <c r="F58">
        <f t="shared" si="0"/>
        <v>0</v>
      </c>
      <c r="G58">
        <f t="shared" si="0"/>
        <v>0</v>
      </c>
    </row>
    <row r="59" spans="2:7" ht="48" x14ac:dyDescent="0.2">
      <c r="B59" s="3" t="s">
        <v>3856</v>
      </c>
      <c r="C59" t="s">
        <v>98</v>
      </c>
      <c r="D59"/>
      <c r="E59" t="s">
        <v>48</v>
      </c>
      <c r="F59">
        <f t="shared" si="0"/>
        <v>0</v>
      </c>
      <c r="G59">
        <f t="shared" si="0"/>
        <v>1</v>
      </c>
    </row>
    <row r="60" spans="2:7" ht="48" x14ac:dyDescent="0.2">
      <c r="B60" s="3" t="s">
        <v>3857</v>
      </c>
      <c r="C60" t="s">
        <v>3664</v>
      </c>
      <c r="D60"/>
      <c r="F60">
        <f t="shared" si="0"/>
        <v>0</v>
      </c>
      <c r="G60">
        <f t="shared" si="0"/>
        <v>0</v>
      </c>
    </row>
    <row r="61" spans="2:7" ht="32" x14ac:dyDescent="0.2">
      <c r="B61" s="3" t="s">
        <v>3858</v>
      </c>
      <c r="C61" t="s">
        <v>11</v>
      </c>
      <c r="D61"/>
      <c r="F61">
        <f t="shared" si="0"/>
        <v>0</v>
      </c>
      <c r="G61">
        <f t="shared" si="0"/>
        <v>0</v>
      </c>
    </row>
    <row r="62" spans="2:7" ht="48" x14ac:dyDescent="0.2">
      <c r="B62" s="3" t="s">
        <v>3859</v>
      </c>
      <c r="C62" t="s">
        <v>20</v>
      </c>
      <c r="D62"/>
      <c r="F62">
        <f t="shared" si="0"/>
        <v>0</v>
      </c>
      <c r="G62">
        <f t="shared" si="0"/>
        <v>0</v>
      </c>
    </row>
    <row r="63" spans="2:7" ht="48" x14ac:dyDescent="0.2">
      <c r="B63" s="3" t="s">
        <v>3860</v>
      </c>
      <c r="C63" t="s">
        <v>184</v>
      </c>
      <c r="D63"/>
      <c r="F63">
        <f t="shared" si="0"/>
        <v>0</v>
      </c>
      <c r="G63">
        <f t="shared" si="0"/>
        <v>0</v>
      </c>
    </row>
    <row r="64" spans="2:7" ht="48" x14ac:dyDescent="0.2">
      <c r="B64" s="3" t="s">
        <v>3861</v>
      </c>
      <c r="C64" t="s">
        <v>11</v>
      </c>
      <c r="D64"/>
      <c r="F64">
        <f t="shared" si="0"/>
        <v>0</v>
      </c>
      <c r="G64">
        <f t="shared" si="0"/>
        <v>0</v>
      </c>
    </row>
    <row r="65" spans="2:7" ht="48" x14ac:dyDescent="0.2">
      <c r="B65" s="3" t="s">
        <v>3862</v>
      </c>
      <c r="C65" t="s">
        <v>70</v>
      </c>
      <c r="D65"/>
      <c r="F65">
        <f t="shared" si="0"/>
        <v>0</v>
      </c>
      <c r="G65">
        <f t="shared" si="0"/>
        <v>0</v>
      </c>
    </row>
    <row r="66" spans="2:7" ht="48" x14ac:dyDescent="0.2">
      <c r="B66" s="3" t="s">
        <v>3863</v>
      </c>
      <c r="C66" t="s">
        <v>3864</v>
      </c>
      <c r="D66"/>
      <c r="F66">
        <f t="shared" si="0"/>
        <v>0</v>
      </c>
      <c r="G66">
        <f t="shared" si="0"/>
        <v>0</v>
      </c>
    </row>
    <row r="67" spans="2:7" ht="48" x14ac:dyDescent="0.2">
      <c r="B67" s="3" t="s">
        <v>3865</v>
      </c>
      <c r="C67" t="s">
        <v>8</v>
      </c>
      <c r="D67"/>
      <c r="F67">
        <f t="shared" ref="F67:G101" si="1">IF(D67="",0,1)</f>
        <v>0</v>
      </c>
      <c r="G67">
        <f t="shared" si="1"/>
        <v>0</v>
      </c>
    </row>
    <row r="68" spans="2:7" ht="48" x14ac:dyDescent="0.2">
      <c r="B68" s="3" t="s">
        <v>3866</v>
      </c>
      <c r="C68" t="s">
        <v>174</v>
      </c>
      <c r="D68"/>
      <c r="F68">
        <f t="shared" si="1"/>
        <v>0</v>
      </c>
      <c r="G68">
        <f t="shared" si="1"/>
        <v>0</v>
      </c>
    </row>
    <row r="69" spans="2:7" ht="48" x14ac:dyDescent="0.2">
      <c r="B69" s="3" t="s">
        <v>3867</v>
      </c>
      <c r="C69" t="s">
        <v>3868</v>
      </c>
      <c r="D69"/>
      <c r="F69">
        <f t="shared" si="1"/>
        <v>0</v>
      </c>
      <c r="G69">
        <f t="shared" si="1"/>
        <v>0</v>
      </c>
    </row>
    <row r="70" spans="2:7" ht="48" x14ac:dyDescent="0.2">
      <c r="B70" s="3" t="s">
        <v>3869</v>
      </c>
      <c r="C70" t="s">
        <v>174</v>
      </c>
      <c r="D70"/>
      <c r="F70">
        <f t="shared" si="1"/>
        <v>0</v>
      </c>
      <c r="G70">
        <f t="shared" si="1"/>
        <v>0</v>
      </c>
    </row>
    <row r="71" spans="2:7" ht="48" x14ac:dyDescent="0.2">
      <c r="B71" s="3" t="s">
        <v>3870</v>
      </c>
      <c r="C71" t="s">
        <v>3871</v>
      </c>
      <c r="D71"/>
      <c r="F71">
        <f t="shared" si="1"/>
        <v>0</v>
      </c>
      <c r="G71">
        <f t="shared" si="1"/>
        <v>0</v>
      </c>
    </row>
    <row r="72" spans="2:7" ht="48" x14ac:dyDescent="0.2">
      <c r="B72" s="3" t="s">
        <v>3872</v>
      </c>
      <c r="C72" t="s">
        <v>3873</v>
      </c>
      <c r="D72"/>
      <c r="F72">
        <f t="shared" si="1"/>
        <v>0</v>
      </c>
      <c r="G72">
        <f t="shared" si="1"/>
        <v>0</v>
      </c>
    </row>
    <row r="73" spans="2:7" ht="48" x14ac:dyDescent="0.2">
      <c r="B73" s="3" t="s">
        <v>3874</v>
      </c>
      <c r="C73" t="s">
        <v>124</v>
      </c>
      <c r="D73"/>
      <c r="F73">
        <f t="shared" si="1"/>
        <v>0</v>
      </c>
      <c r="G73">
        <f t="shared" si="1"/>
        <v>0</v>
      </c>
    </row>
    <row r="74" spans="2:7" ht="48" x14ac:dyDescent="0.2">
      <c r="B74" s="3" t="s">
        <v>3875</v>
      </c>
      <c r="C74" t="s">
        <v>66</v>
      </c>
      <c r="D74"/>
      <c r="F74">
        <f t="shared" si="1"/>
        <v>0</v>
      </c>
      <c r="G74">
        <f t="shared" si="1"/>
        <v>0</v>
      </c>
    </row>
    <row r="75" spans="2:7" ht="48" x14ac:dyDescent="0.2">
      <c r="B75" s="3" t="s">
        <v>3876</v>
      </c>
      <c r="C75" t="s">
        <v>3</v>
      </c>
      <c r="D75"/>
      <c r="F75">
        <f t="shared" si="1"/>
        <v>0</v>
      </c>
      <c r="G75">
        <f t="shared" si="1"/>
        <v>0</v>
      </c>
    </row>
    <row r="76" spans="2:7" ht="48" x14ac:dyDescent="0.2">
      <c r="B76" s="3" t="s">
        <v>3877</v>
      </c>
      <c r="C76" t="s">
        <v>187</v>
      </c>
      <c r="D76"/>
      <c r="F76">
        <f t="shared" si="1"/>
        <v>0</v>
      </c>
      <c r="G76">
        <f t="shared" si="1"/>
        <v>0</v>
      </c>
    </row>
    <row r="77" spans="2:7" ht="48" x14ac:dyDescent="0.2">
      <c r="B77" s="3" t="s">
        <v>3878</v>
      </c>
      <c r="C77" t="s">
        <v>3790</v>
      </c>
      <c r="D77" t="s">
        <v>48</v>
      </c>
      <c r="F77">
        <f t="shared" si="1"/>
        <v>1</v>
      </c>
      <c r="G77">
        <f t="shared" si="1"/>
        <v>0</v>
      </c>
    </row>
    <row r="78" spans="2:7" ht="48" x14ac:dyDescent="0.2">
      <c r="B78" s="3" t="s">
        <v>3879</v>
      </c>
      <c r="C78" t="s">
        <v>3880</v>
      </c>
      <c r="D78" t="s">
        <v>3910</v>
      </c>
      <c r="F78">
        <f t="shared" si="1"/>
        <v>1</v>
      </c>
      <c r="G78">
        <f t="shared" si="1"/>
        <v>0</v>
      </c>
    </row>
    <row r="79" spans="2:7" ht="48" x14ac:dyDescent="0.2">
      <c r="B79" s="3" t="s">
        <v>3881</v>
      </c>
      <c r="C79" t="s">
        <v>5</v>
      </c>
      <c r="D79"/>
      <c r="F79">
        <f t="shared" si="1"/>
        <v>0</v>
      </c>
      <c r="G79">
        <f t="shared" si="1"/>
        <v>0</v>
      </c>
    </row>
    <row r="80" spans="2:7" ht="48" x14ac:dyDescent="0.2">
      <c r="B80" s="3" t="s">
        <v>3882</v>
      </c>
      <c r="C80" t="s">
        <v>3883</v>
      </c>
      <c r="D80"/>
      <c r="F80">
        <f t="shared" si="1"/>
        <v>0</v>
      </c>
      <c r="G80">
        <f t="shared" si="1"/>
        <v>0</v>
      </c>
    </row>
    <row r="81" spans="2:7" ht="48" x14ac:dyDescent="0.2">
      <c r="B81" s="3" t="s">
        <v>3884</v>
      </c>
      <c r="C81" t="s">
        <v>297</v>
      </c>
      <c r="D81"/>
      <c r="F81">
        <f t="shared" si="1"/>
        <v>0</v>
      </c>
      <c r="G81">
        <f t="shared" si="1"/>
        <v>0</v>
      </c>
    </row>
    <row r="82" spans="2:7" ht="48" x14ac:dyDescent="0.2">
      <c r="B82" s="3" t="s">
        <v>3885</v>
      </c>
      <c r="C82" t="s">
        <v>3886</v>
      </c>
      <c r="D82"/>
      <c r="F82">
        <f t="shared" si="1"/>
        <v>0</v>
      </c>
      <c r="G82">
        <f t="shared" si="1"/>
        <v>0</v>
      </c>
    </row>
    <row r="83" spans="2:7" ht="32" x14ac:dyDescent="0.2">
      <c r="B83" s="3" t="s">
        <v>3887</v>
      </c>
      <c r="C83" t="s">
        <v>3658</v>
      </c>
      <c r="D83"/>
      <c r="F83">
        <f t="shared" si="1"/>
        <v>0</v>
      </c>
      <c r="G83">
        <f t="shared" si="1"/>
        <v>0</v>
      </c>
    </row>
    <row r="84" spans="2:7" ht="48" x14ac:dyDescent="0.2">
      <c r="B84" s="3" t="s">
        <v>3888</v>
      </c>
      <c r="C84" t="s">
        <v>240</v>
      </c>
      <c r="D84"/>
      <c r="F84">
        <f t="shared" si="1"/>
        <v>0</v>
      </c>
      <c r="G84">
        <f t="shared" si="1"/>
        <v>0</v>
      </c>
    </row>
    <row r="85" spans="2:7" ht="48" x14ac:dyDescent="0.2">
      <c r="B85" s="3" t="s">
        <v>3889</v>
      </c>
      <c r="C85" t="s">
        <v>11</v>
      </c>
      <c r="D85"/>
      <c r="F85">
        <f t="shared" si="1"/>
        <v>0</v>
      </c>
      <c r="G85">
        <f t="shared" si="1"/>
        <v>0</v>
      </c>
    </row>
    <row r="86" spans="2:7" ht="48" x14ac:dyDescent="0.2">
      <c r="B86" s="3" t="s">
        <v>3890</v>
      </c>
      <c r="C86" t="s">
        <v>237</v>
      </c>
      <c r="D86"/>
      <c r="F86">
        <f t="shared" si="1"/>
        <v>0</v>
      </c>
      <c r="G86">
        <f t="shared" si="1"/>
        <v>0</v>
      </c>
    </row>
    <row r="87" spans="2:7" ht="48" x14ac:dyDescent="0.2">
      <c r="B87" s="3" t="s">
        <v>3891</v>
      </c>
      <c r="C87" t="s">
        <v>3892</v>
      </c>
      <c r="D87"/>
      <c r="F87">
        <f t="shared" si="1"/>
        <v>0</v>
      </c>
      <c r="G87">
        <f t="shared" si="1"/>
        <v>0</v>
      </c>
    </row>
    <row r="88" spans="2:7" ht="48" x14ac:dyDescent="0.2">
      <c r="B88" s="3" t="s">
        <v>3893</v>
      </c>
      <c r="C88" t="s">
        <v>15</v>
      </c>
      <c r="D88"/>
      <c r="F88">
        <f t="shared" si="1"/>
        <v>0</v>
      </c>
      <c r="G88">
        <f t="shared" si="1"/>
        <v>0</v>
      </c>
    </row>
    <row r="89" spans="2:7" ht="48" x14ac:dyDescent="0.2">
      <c r="B89" s="3" t="s">
        <v>3894</v>
      </c>
      <c r="C89" t="s">
        <v>30</v>
      </c>
      <c r="D89"/>
      <c r="F89">
        <f t="shared" si="1"/>
        <v>0</v>
      </c>
      <c r="G89">
        <f t="shared" si="1"/>
        <v>0</v>
      </c>
    </row>
    <row r="90" spans="2:7" ht="48" x14ac:dyDescent="0.2">
      <c r="B90" s="3" t="s">
        <v>3895</v>
      </c>
      <c r="C90" t="s">
        <v>132</v>
      </c>
      <c r="D90"/>
      <c r="F90">
        <f t="shared" si="1"/>
        <v>0</v>
      </c>
      <c r="G90">
        <f t="shared" si="1"/>
        <v>0</v>
      </c>
    </row>
    <row r="91" spans="2:7" ht="48" x14ac:dyDescent="0.2">
      <c r="B91" s="3" t="s">
        <v>3896</v>
      </c>
      <c r="C91" t="s">
        <v>232</v>
      </c>
      <c r="D91"/>
      <c r="F91">
        <f t="shared" si="1"/>
        <v>0</v>
      </c>
      <c r="G91">
        <f t="shared" si="1"/>
        <v>0</v>
      </c>
    </row>
    <row r="92" spans="2:7" ht="48" x14ac:dyDescent="0.2">
      <c r="B92" s="3" t="s">
        <v>3897</v>
      </c>
      <c r="C92" t="s">
        <v>3898</v>
      </c>
      <c r="D92"/>
      <c r="F92">
        <f t="shared" si="1"/>
        <v>0</v>
      </c>
      <c r="G92">
        <f t="shared" si="1"/>
        <v>0</v>
      </c>
    </row>
    <row r="93" spans="2:7" ht="48" x14ac:dyDescent="0.2">
      <c r="B93" s="3" t="s">
        <v>3899</v>
      </c>
      <c r="C93" t="s">
        <v>150</v>
      </c>
      <c r="D93"/>
      <c r="F93">
        <f t="shared" si="1"/>
        <v>0</v>
      </c>
      <c r="G93">
        <f t="shared" si="1"/>
        <v>0</v>
      </c>
    </row>
    <row r="94" spans="2:7" ht="48" x14ac:dyDescent="0.2">
      <c r="B94" s="3" t="s">
        <v>3900</v>
      </c>
      <c r="C94" t="s">
        <v>1833</v>
      </c>
      <c r="D94"/>
      <c r="F94">
        <f t="shared" si="1"/>
        <v>0</v>
      </c>
      <c r="G94">
        <f t="shared" si="1"/>
        <v>0</v>
      </c>
    </row>
    <row r="95" spans="2:7" ht="48" x14ac:dyDescent="0.2">
      <c r="B95" s="3" t="s">
        <v>3901</v>
      </c>
      <c r="C95" t="s">
        <v>175</v>
      </c>
      <c r="D95"/>
      <c r="F95">
        <f t="shared" si="1"/>
        <v>0</v>
      </c>
      <c r="G95">
        <f t="shared" si="1"/>
        <v>0</v>
      </c>
    </row>
    <row r="96" spans="2:7" ht="32" x14ac:dyDescent="0.2">
      <c r="B96" s="3" t="s">
        <v>3902</v>
      </c>
      <c r="C96" t="s">
        <v>3903</v>
      </c>
      <c r="D96"/>
      <c r="F96">
        <f t="shared" si="1"/>
        <v>0</v>
      </c>
      <c r="G96">
        <f t="shared" si="1"/>
        <v>0</v>
      </c>
    </row>
    <row r="97" spans="2:7" ht="48" x14ac:dyDescent="0.2">
      <c r="B97" s="3" t="s">
        <v>3904</v>
      </c>
      <c r="C97" t="s">
        <v>79</v>
      </c>
      <c r="D97"/>
      <c r="F97">
        <f t="shared" si="1"/>
        <v>0</v>
      </c>
      <c r="G97">
        <f t="shared" si="1"/>
        <v>0</v>
      </c>
    </row>
    <row r="98" spans="2:7" ht="48" x14ac:dyDescent="0.2">
      <c r="B98" s="3" t="s">
        <v>3905</v>
      </c>
      <c r="C98" t="s">
        <v>70</v>
      </c>
      <c r="D98"/>
      <c r="F98">
        <f t="shared" si="1"/>
        <v>0</v>
      </c>
      <c r="G98">
        <f t="shared" si="1"/>
        <v>0</v>
      </c>
    </row>
    <row r="99" spans="2:7" ht="48" x14ac:dyDescent="0.2">
      <c r="B99" s="3" t="s">
        <v>3906</v>
      </c>
      <c r="C99" t="s">
        <v>70</v>
      </c>
      <c r="D99"/>
      <c r="F99">
        <f t="shared" si="1"/>
        <v>0</v>
      </c>
      <c r="G99">
        <f t="shared" si="1"/>
        <v>0</v>
      </c>
    </row>
    <row r="100" spans="2:7" ht="48" x14ac:dyDescent="0.2">
      <c r="B100" s="3" t="s">
        <v>3907</v>
      </c>
      <c r="C100" t="s">
        <v>145</v>
      </c>
      <c r="D100"/>
      <c r="F100">
        <f t="shared" si="1"/>
        <v>0</v>
      </c>
      <c r="G100">
        <f t="shared" si="1"/>
        <v>0</v>
      </c>
    </row>
    <row r="101" spans="2:7" ht="48" x14ac:dyDescent="0.2">
      <c r="B101" s="3" t="s">
        <v>3908</v>
      </c>
      <c r="C101" t="s">
        <v>180</v>
      </c>
      <c r="D101"/>
      <c r="F101">
        <f t="shared" si="1"/>
        <v>0</v>
      </c>
      <c r="G101">
        <f t="shared" si="1"/>
        <v>0</v>
      </c>
    </row>
    <row r="103" spans="2:7" x14ac:dyDescent="0.2">
      <c r="F103" s="10">
        <f>SUM(F2:F101)</f>
        <v>3</v>
      </c>
      <c r="G103" s="10">
        <f>SUM(G2:G101)</f>
        <v>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F200-2F68-8243-94B0-E2CFA17D273B}">
  <dimension ref="A1:G103"/>
  <sheetViews>
    <sheetView topLeftCell="A95" zoomScale="160" zoomScaleNormal="160" workbookViewId="0">
      <selection activeCell="E103" sqref="E103"/>
    </sheetView>
  </sheetViews>
  <sheetFormatPr baseColWidth="10" defaultRowHeight="15" x14ac:dyDescent="0.2"/>
  <cols>
    <col min="1" max="1" width="4.5" style="3" customWidth="1"/>
    <col min="2" max="2" width="56.1640625" style="7" customWidth="1"/>
    <col min="4" max="4" width="15.1640625" style="9" customWidth="1"/>
    <col min="5" max="5" width="13.33203125" customWidth="1"/>
  </cols>
  <sheetData>
    <row r="1" spans="1:7" ht="16" x14ac:dyDescent="0.2">
      <c r="A1" s="2" t="s">
        <v>0</v>
      </c>
      <c r="B1" s="6" t="s">
        <v>43</v>
      </c>
      <c r="C1" s="1" t="s">
        <v>1</v>
      </c>
      <c r="D1" s="8" t="s">
        <v>44</v>
      </c>
      <c r="E1" s="1" t="s">
        <v>45</v>
      </c>
      <c r="F1" s="1" t="s">
        <v>44</v>
      </c>
      <c r="G1" s="1" t="s">
        <v>45</v>
      </c>
    </row>
    <row r="2" spans="1:7" ht="16" x14ac:dyDescent="0.2">
      <c r="B2" s="2" t="s">
        <v>0</v>
      </c>
      <c r="C2" s="1" t="s">
        <v>1</v>
      </c>
      <c r="D2"/>
      <c r="F2">
        <f>IF(D2="",0,1)</f>
        <v>0</v>
      </c>
      <c r="G2">
        <f>IF(E2="",0,1)</f>
        <v>0</v>
      </c>
    </row>
    <row r="3" spans="1:7" ht="48" x14ac:dyDescent="0.2">
      <c r="B3" s="3" t="s">
        <v>3921</v>
      </c>
      <c r="C3" t="s">
        <v>3527</v>
      </c>
      <c r="D3"/>
      <c r="F3">
        <f t="shared" ref="F3:G66" si="0">IF(D3="",0,1)</f>
        <v>0</v>
      </c>
      <c r="G3">
        <f t="shared" si="0"/>
        <v>0</v>
      </c>
    </row>
    <row r="4" spans="1:7" ht="48" x14ac:dyDescent="0.2">
      <c r="B4" s="3" t="s">
        <v>3922</v>
      </c>
      <c r="C4" t="s">
        <v>3923</v>
      </c>
      <c r="D4"/>
      <c r="F4">
        <f t="shared" si="0"/>
        <v>0</v>
      </c>
      <c r="G4">
        <f t="shared" si="0"/>
        <v>0</v>
      </c>
    </row>
    <row r="5" spans="1:7" ht="48" x14ac:dyDescent="0.2">
      <c r="B5" s="3" t="s">
        <v>3924</v>
      </c>
      <c r="C5" t="s">
        <v>41</v>
      </c>
      <c r="D5"/>
      <c r="F5">
        <f t="shared" si="0"/>
        <v>0</v>
      </c>
      <c r="G5">
        <f t="shared" si="0"/>
        <v>0</v>
      </c>
    </row>
    <row r="6" spans="1:7" ht="48" x14ac:dyDescent="0.2">
      <c r="B6" s="3" t="s">
        <v>3925</v>
      </c>
      <c r="C6" t="s">
        <v>3926</v>
      </c>
      <c r="D6"/>
      <c r="F6">
        <f t="shared" si="0"/>
        <v>0</v>
      </c>
      <c r="G6">
        <f t="shared" si="0"/>
        <v>0</v>
      </c>
    </row>
    <row r="7" spans="1:7" ht="48" x14ac:dyDescent="0.2">
      <c r="B7" s="3" t="s">
        <v>3927</v>
      </c>
      <c r="C7" t="s">
        <v>78</v>
      </c>
      <c r="D7"/>
      <c r="F7">
        <f t="shared" si="0"/>
        <v>0</v>
      </c>
      <c r="G7">
        <f t="shared" si="0"/>
        <v>0</v>
      </c>
    </row>
    <row r="8" spans="1:7" ht="48" x14ac:dyDescent="0.2">
      <c r="B8" s="3" t="s">
        <v>3928</v>
      </c>
      <c r="C8" t="s">
        <v>180</v>
      </c>
      <c r="D8"/>
      <c r="F8">
        <f t="shared" si="0"/>
        <v>0</v>
      </c>
      <c r="G8">
        <f t="shared" si="0"/>
        <v>0</v>
      </c>
    </row>
    <row r="9" spans="1:7" ht="48" x14ac:dyDescent="0.2">
      <c r="B9" s="3" t="s">
        <v>3929</v>
      </c>
      <c r="C9" t="s">
        <v>3930</v>
      </c>
      <c r="D9"/>
      <c r="F9">
        <f t="shared" si="0"/>
        <v>0</v>
      </c>
      <c r="G9">
        <f t="shared" si="0"/>
        <v>0</v>
      </c>
    </row>
    <row r="10" spans="1:7" ht="48" x14ac:dyDescent="0.2">
      <c r="B10" s="3" t="s">
        <v>3931</v>
      </c>
      <c r="C10" t="s">
        <v>3932</v>
      </c>
      <c r="D10"/>
      <c r="F10">
        <f t="shared" si="0"/>
        <v>0</v>
      </c>
      <c r="G10">
        <f t="shared" si="0"/>
        <v>0</v>
      </c>
    </row>
    <row r="11" spans="1:7" ht="32" x14ac:dyDescent="0.2">
      <c r="B11" s="3" t="s">
        <v>3933</v>
      </c>
      <c r="C11" t="s">
        <v>296</v>
      </c>
      <c r="D11"/>
      <c r="F11">
        <f t="shared" si="0"/>
        <v>0</v>
      </c>
      <c r="G11">
        <f t="shared" si="0"/>
        <v>0</v>
      </c>
    </row>
    <row r="12" spans="1:7" ht="48" x14ac:dyDescent="0.2">
      <c r="B12" s="3" t="s">
        <v>3934</v>
      </c>
      <c r="C12" t="s">
        <v>109</v>
      </c>
      <c r="D12"/>
      <c r="F12">
        <f t="shared" si="0"/>
        <v>0</v>
      </c>
      <c r="G12">
        <f t="shared" si="0"/>
        <v>0</v>
      </c>
    </row>
    <row r="13" spans="1:7" ht="48" x14ac:dyDescent="0.2">
      <c r="B13" s="3" t="s">
        <v>3935</v>
      </c>
      <c r="C13" t="s">
        <v>3936</v>
      </c>
      <c r="D13"/>
      <c r="F13">
        <f t="shared" si="0"/>
        <v>0</v>
      </c>
      <c r="G13">
        <f t="shared" si="0"/>
        <v>0</v>
      </c>
    </row>
    <row r="14" spans="1:7" ht="48" x14ac:dyDescent="0.2">
      <c r="B14" s="3" t="s">
        <v>3937</v>
      </c>
      <c r="C14" t="s">
        <v>3938</v>
      </c>
      <c r="D14"/>
      <c r="F14">
        <f t="shared" si="0"/>
        <v>0</v>
      </c>
      <c r="G14">
        <f t="shared" si="0"/>
        <v>0</v>
      </c>
    </row>
    <row r="15" spans="1:7" ht="48" x14ac:dyDescent="0.2">
      <c r="B15" s="3" t="s">
        <v>3939</v>
      </c>
      <c r="C15" t="s">
        <v>3940</v>
      </c>
      <c r="D15"/>
      <c r="F15">
        <f t="shared" si="0"/>
        <v>0</v>
      </c>
      <c r="G15">
        <f t="shared" si="0"/>
        <v>0</v>
      </c>
    </row>
    <row r="16" spans="1:7" ht="48" x14ac:dyDescent="0.2">
      <c r="B16" s="3" t="s">
        <v>3941</v>
      </c>
      <c r="C16" t="s">
        <v>3942</v>
      </c>
      <c r="D16"/>
      <c r="F16">
        <f t="shared" si="0"/>
        <v>0</v>
      </c>
      <c r="G16">
        <f t="shared" si="0"/>
        <v>0</v>
      </c>
    </row>
    <row r="17" spans="2:7" ht="48" x14ac:dyDescent="0.2">
      <c r="B17" s="3" t="s">
        <v>3943</v>
      </c>
      <c r="C17" t="s">
        <v>3944</v>
      </c>
      <c r="D17"/>
      <c r="F17">
        <f t="shared" si="0"/>
        <v>0</v>
      </c>
      <c r="G17">
        <f t="shared" si="0"/>
        <v>0</v>
      </c>
    </row>
    <row r="18" spans="2:7" ht="48" x14ac:dyDescent="0.2">
      <c r="B18" s="3" t="s">
        <v>3945</v>
      </c>
      <c r="C18" t="s">
        <v>6</v>
      </c>
      <c r="D18"/>
      <c r="F18">
        <f t="shared" si="0"/>
        <v>0</v>
      </c>
      <c r="G18">
        <f t="shared" si="0"/>
        <v>0</v>
      </c>
    </row>
    <row r="19" spans="2:7" ht="48" x14ac:dyDescent="0.2">
      <c r="B19" s="3" t="s">
        <v>3946</v>
      </c>
      <c r="C19" t="s">
        <v>3153</v>
      </c>
      <c r="D19"/>
      <c r="F19">
        <f t="shared" si="0"/>
        <v>0</v>
      </c>
      <c r="G19">
        <f t="shared" si="0"/>
        <v>0</v>
      </c>
    </row>
    <row r="20" spans="2:7" ht="64" x14ac:dyDescent="0.2">
      <c r="B20" s="3" t="s">
        <v>3947</v>
      </c>
      <c r="C20" t="s">
        <v>39</v>
      </c>
      <c r="D20"/>
      <c r="F20">
        <f t="shared" si="0"/>
        <v>0</v>
      </c>
      <c r="G20">
        <f t="shared" si="0"/>
        <v>0</v>
      </c>
    </row>
    <row r="21" spans="2:7" ht="48" x14ac:dyDescent="0.2">
      <c r="B21" s="3" t="s">
        <v>3948</v>
      </c>
      <c r="C21" t="s">
        <v>3949</v>
      </c>
      <c r="D21"/>
      <c r="F21">
        <f t="shared" si="0"/>
        <v>0</v>
      </c>
      <c r="G21">
        <f t="shared" si="0"/>
        <v>0</v>
      </c>
    </row>
    <row r="22" spans="2:7" ht="48" x14ac:dyDescent="0.2">
      <c r="B22" s="3" t="s">
        <v>3950</v>
      </c>
      <c r="C22" t="s">
        <v>67</v>
      </c>
      <c r="D22"/>
      <c r="F22">
        <f t="shared" si="0"/>
        <v>0</v>
      </c>
      <c r="G22">
        <f t="shared" si="0"/>
        <v>0</v>
      </c>
    </row>
    <row r="23" spans="2:7" ht="48" x14ac:dyDescent="0.2">
      <c r="B23" s="3" t="s">
        <v>3951</v>
      </c>
      <c r="C23" t="s">
        <v>3952</v>
      </c>
      <c r="D23"/>
      <c r="F23">
        <f t="shared" si="0"/>
        <v>0</v>
      </c>
      <c r="G23">
        <f t="shared" si="0"/>
        <v>0</v>
      </c>
    </row>
    <row r="24" spans="2:7" ht="48" x14ac:dyDescent="0.2">
      <c r="B24" s="3" t="s">
        <v>3953</v>
      </c>
      <c r="C24" t="s">
        <v>3954</v>
      </c>
      <c r="D24"/>
      <c r="F24">
        <f t="shared" si="0"/>
        <v>0</v>
      </c>
      <c r="G24">
        <f t="shared" si="0"/>
        <v>0</v>
      </c>
    </row>
    <row r="25" spans="2:7" ht="48" x14ac:dyDescent="0.2">
      <c r="B25" s="3" t="s">
        <v>3955</v>
      </c>
      <c r="C25" t="s">
        <v>6</v>
      </c>
      <c r="D25"/>
      <c r="F25">
        <f t="shared" si="0"/>
        <v>0</v>
      </c>
      <c r="G25">
        <f t="shared" si="0"/>
        <v>0</v>
      </c>
    </row>
    <row r="26" spans="2:7" ht="48" x14ac:dyDescent="0.2">
      <c r="B26" s="3" t="s">
        <v>3956</v>
      </c>
      <c r="C26" t="s">
        <v>3957</v>
      </c>
      <c r="D26"/>
      <c r="F26">
        <f t="shared" si="0"/>
        <v>0</v>
      </c>
      <c r="G26">
        <f t="shared" si="0"/>
        <v>0</v>
      </c>
    </row>
    <row r="27" spans="2:7" ht="48" x14ac:dyDescent="0.2">
      <c r="B27" s="3" t="s">
        <v>3958</v>
      </c>
      <c r="C27" t="s">
        <v>6</v>
      </c>
      <c r="D27"/>
      <c r="F27">
        <f t="shared" si="0"/>
        <v>0</v>
      </c>
      <c r="G27">
        <f t="shared" si="0"/>
        <v>0</v>
      </c>
    </row>
    <row r="28" spans="2:7" ht="48" x14ac:dyDescent="0.2">
      <c r="B28" s="3" t="s">
        <v>3959</v>
      </c>
      <c r="C28" t="s">
        <v>3661</v>
      </c>
      <c r="D28"/>
      <c r="F28">
        <f t="shared" si="0"/>
        <v>0</v>
      </c>
      <c r="G28">
        <f t="shared" si="0"/>
        <v>0</v>
      </c>
    </row>
    <row r="29" spans="2:7" ht="48" x14ac:dyDescent="0.2">
      <c r="B29" s="3" t="s">
        <v>3960</v>
      </c>
      <c r="C29" t="s">
        <v>3961</v>
      </c>
      <c r="D29"/>
      <c r="F29">
        <f t="shared" si="0"/>
        <v>0</v>
      </c>
      <c r="G29">
        <f t="shared" si="0"/>
        <v>0</v>
      </c>
    </row>
    <row r="30" spans="2:7" ht="64" x14ac:dyDescent="0.2">
      <c r="B30" s="3" t="s">
        <v>3962</v>
      </c>
      <c r="C30" t="s">
        <v>3383</v>
      </c>
      <c r="D30"/>
      <c r="F30">
        <f t="shared" si="0"/>
        <v>0</v>
      </c>
      <c r="G30">
        <f t="shared" si="0"/>
        <v>0</v>
      </c>
    </row>
    <row r="31" spans="2:7" ht="48" x14ac:dyDescent="0.2">
      <c r="B31" s="3" t="s">
        <v>3963</v>
      </c>
      <c r="C31" t="s">
        <v>2</v>
      </c>
      <c r="D31"/>
      <c r="F31">
        <f t="shared" si="0"/>
        <v>0</v>
      </c>
      <c r="G31">
        <f t="shared" si="0"/>
        <v>0</v>
      </c>
    </row>
    <row r="32" spans="2:7" ht="48" x14ac:dyDescent="0.2">
      <c r="B32" s="3" t="s">
        <v>3964</v>
      </c>
      <c r="C32" t="s">
        <v>180</v>
      </c>
      <c r="D32"/>
      <c r="F32">
        <f t="shared" si="0"/>
        <v>0</v>
      </c>
      <c r="G32">
        <f t="shared" si="0"/>
        <v>0</v>
      </c>
    </row>
    <row r="33" spans="2:7" ht="48" x14ac:dyDescent="0.2">
      <c r="B33" s="3" t="s">
        <v>3965</v>
      </c>
      <c r="C33" t="s">
        <v>69</v>
      </c>
      <c r="D33"/>
      <c r="F33">
        <f t="shared" si="0"/>
        <v>0</v>
      </c>
      <c r="G33">
        <f t="shared" si="0"/>
        <v>0</v>
      </c>
    </row>
    <row r="34" spans="2:7" ht="64" x14ac:dyDescent="0.2">
      <c r="B34" s="3" t="s">
        <v>3966</v>
      </c>
      <c r="C34" t="s">
        <v>1855</v>
      </c>
      <c r="D34"/>
      <c r="F34">
        <f t="shared" si="0"/>
        <v>0</v>
      </c>
      <c r="G34">
        <f t="shared" si="0"/>
        <v>0</v>
      </c>
    </row>
    <row r="35" spans="2:7" ht="48" x14ac:dyDescent="0.2">
      <c r="B35" s="3" t="s">
        <v>3967</v>
      </c>
      <c r="C35" t="s">
        <v>11</v>
      </c>
      <c r="D35"/>
      <c r="E35" t="s">
        <v>46</v>
      </c>
      <c r="F35">
        <f t="shared" si="0"/>
        <v>0</v>
      </c>
      <c r="G35">
        <f t="shared" si="0"/>
        <v>1</v>
      </c>
    </row>
    <row r="36" spans="2:7" ht="64" x14ac:dyDescent="0.2">
      <c r="B36" s="3" t="s">
        <v>3968</v>
      </c>
      <c r="C36" t="s">
        <v>3969</v>
      </c>
      <c r="D36"/>
      <c r="F36">
        <f t="shared" si="0"/>
        <v>0</v>
      </c>
      <c r="G36">
        <f t="shared" si="0"/>
        <v>0</v>
      </c>
    </row>
    <row r="37" spans="2:7" ht="48" x14ac:dyDescent="0.2">
      <c r="B37" s="3" t="s">
        <v>3970</v>
      </c>
      <c r="C37" t="s">
        <v>165</v>
      </c>
      <c r="D37"/>
      <c r="F37">
        <f t="shared" si="0"/>
        <v>0</v>
      </c>
      <c r="G37">
        <f t="shared" si="0"/>
        <v>0</v>
      </c>
    </row>
    <row r="38" spans="2:7" ht="48" x14ac:dyDescent="0.2">
      <c r="B38" s="3" t="s">
        <v>3971</v>
      </c>
      <c r="C38" t="s">
        <v>1856</v>
      </c>
      <c r="D38"/>
      <c r="F38">
        <f t="shared" si="0"/>
        <v>0</v>
      </c>
      <c r="G38">
        <f t="shared" si="0"/>
        <v>0</v>
      </c>
    </row>
    <row r="39" spans="2:7" ht="48" x14ac:dyDescent="0.2">
      <c r="B39" s="3" t="s">
        <v>3972</v>
      </c>
      <c r="C39" t="s">
        <v>6</v>
      </c>
      <c r="D39"/>
      <c r="F39">
        <f t="shared" si="0"/>
        <v>0</v>
      </c>
      <c r="G39">
        <f t="shared" si="0"/>
        <v>0</v>
      </c>
    </row>
    <row r="40" spans="2:7" ht="48" x14ac:dyDescent="0.2">
      <c r="B40" s="3" t="s">
        <v>3973</v>
      </c>
      <c r="C40" t="s">
        <v>18</v>
      </c>
      <c r="D40"/>
      <c r="F40">
        <f t="shared" si="0"/>
        <v>0</v>
      </c>
      <c r="G40">
        <f t="shared" si="0"/>
        <v>0</v>
      </c>
    </row>
    <row r="41" spans="2:7" ht="48" x14ac:dyDescent="0.2">
      <c r="B41" s="3" t="s">
        <v>3974</v>
      </c>
      <c r="C41" t="s">
        <v>67</v>
      </c>
      <c r="D41"/>
      <c r="F41">
        <f t="shared" si="0"/>
        <v>0</v>
      </c>
      <c r="G41">
        <f t="shared" si="0"/>
        <v>0</v>
      </c>
    </row>
    <row r="42" spans="2:7" ht="48" x14ac:dyDescent="0.2">
      <c r="B42" s="3" t="s">
        <v>3975</v>
      </c>
      <c r="C42" t="s">
        <v>3976</v>
      </c>
      <c r="D42"/>
      <c r="F42">
        <f t="shared" si="0"/>
        <v>0</v>
      </c>
      <c r="G42">
        <f t="shared" si="0"/>
        <v>0</v>
      </c>
    </row>
    <row r="43" spans="2:7" ht="64" x14ac:dyDescent="0.2">
      <c r="B43" s="3" t="s">
        <v>3977</v>
      </c>
      <c r="C43" t="s">
        <v>3978</v>
      </c>
      <c r="D43"/>
      <c r="E43" t="s">
        <v>215</v>
      </c>
      <c r="F43">
        <f t="shared" si="0"/>
        <v>0</v>
      </c>
      <c r="G43">
        <f t="shared" si="0"/>
        <v>1</v>
      </c>
    </row>
    <row r="44" spans="2:7" ht="48" x14ac:dyDescent="0.2">
      <c r="B44" s="3" t="s">
        <v>3979</v>
      </c>
      <c r="C44" t="s">
        <v>7</v>
      </c>
      <c r="D44"/>
      <c r="F44">
        <f t="shared" si="0"/>
        <v>0</v>
      </c>
      <c r="G44">
        <f t="shared" si="0"/>
        <v>0</v>
      </c>
    </row>
    <row r="45" spans="2:7" ht="48" x14ac:dyDescent="0.2">
      <c r="B45" s="3" t="s">
        <v>3980</v>
      </c>
      <c r="C45" t="s">
        <v>3981</v>
      </c>
      <c r="D45"/>
      <c r="F45">
        <f t="shared" si="0"/>
        <v>0</v>
      </c>
      <c r="G45">
        <f t="shared" si="0"/>
        <v>0</v>
      </c>
    </row>
    <row r="46" spans="2:7" ht="64" x14ac:dyDescent="0.2">
      <c r="B46" s="3" t="s">
        <v>3982</v>
      </c>
      <c r="C46" t="s">
        <v>2704</v>
      </c>
      <c r="D46" t="s">
        <v>87</v>
      </c>
      <c r="F46">
        <f t="shared" si="0"/>
        <v>1</v>
      </c>
      <c r="G46">
        <f t="shared" si="0"/>
        <v>0</v>
      </c>
    </row>
    <row r="47" spans="2:7" ht="48" x14ac:dyDescent="0.2">
      <c r="B47" s="3" t="s">
        <v>3983</v>
      </c>
      <c r="C47" t="s">
        <v>3923</v>
      </c>
      <c r="D47"/>
      <c r="F47">
        <f t="shared" si="0"/>
        <v>0</v>
      </c>
      <c r="G47">
        <f t="shared" si="0"/>
        <v>0</v>
      </c>
    </row>
    <row r="48" spans="2:7" ht="48" x14ac:dyDescent="0.2">
      <c r="B48" s="3" t="s">
        <v>3984</v>
      </c>
      <c r="C48" t="s">
        <v>6</v>
      </c>
      <c r="D48"/>
      <c r="F48">
        <f t="shared" si="0"/>
        <v>0</v>
      </c>
      <c r="G48">
        <f t="shared" si="0"/>
        <v>0</v>
      </c>
    </row>
    <row r="49" spans="2:7" ht="64" x14ac:dyDescent="0.2">
      <c r="B49" s="3" t="s">
        <v>3985</v>
      </c>
      <c r="C49" t="s">
        <v>114</v>
      </c>
      <c r="D49"/>
      <c r="F49">
        <f t="shared" si="0"/>
        <v>0</v>
      </c>
      <c r="G49">
        <f t="shared" si="0"/>
        <v>0</v>
      </c>
    </row>
    <row r="50" spans="2:7" ht="32" x14ac:dyDescent="0.2">
      <c r="B50" s="3" t="s">
        <v>3986</v>
      </c>
      <c r="C50" t="s">
        <v>3987</v>
      </c>
      <c r="D50"/>
      <c r="F50">
        <f t="shared" si="0"/>
        <v>0</v>
      </c>
      <c r="G50">
        <f t="shared" si="0"/>
        <v>0</v>
      </c>
    </row>
    <row r="51" spans="2:7" ht="32" x14ac:dyDescent="0.2">
      <c r="B51" s="3" t="s">
        <v>3988</v>
      </c>
      <c r="C51" t="s">
        <v>3989</v>
      </c>
      <c r="D51"/>
      <c r="F51">
        <f t="shared" si="0"/>
        <v>0</v>
      </c>
      <c r="G51">
        <f t="shared" si="0"/>
        <v>0</v>
      </c>
    </row>
    <row r="52" spans="2:7" ht="48" x14ac:dyDescent="0.2">
      <c r="B52" s="3" t="s">
        <v>3990</v>
      </c>
      <c r="C52" t="s">
        <v>7</v>
      </c>
      <c r="D52"/>
      <c r="F52">
        <f t="shared" si="0"/>
        <v>0</v>
      </c>
      <c r="G52">
        <f t="shared" si="0"/>
        <v>0</v>
      </c>
    </row>
    <row r="53" spans="2:7" ht="48" x14ac:dyDescent="0.2">
      <c r="B53" s="3" t="s">
        <v>3991</v>
      </c>
      <c r="C53" t="s">
        <v>42</v>
      </c>
      <c r="D53"/>
      <c r="E53" t="s">
        <v>85</v>
      </c>
      <c r="F53">
        <f t="shared" si="0"/>
        <v>0</v>
      </c>
      <c r="G53">
        <f t="shared" si="0"/>
        <v>1</v>
      </c>
    </row>
    <row r="54" spans="2:7" ht="48" x14ac:dyDescent="0.2">
      <c r="B54" s="3" t="s">
        <v>3992</v>
      </c>
      <c r="C54" t="s">
        <v>3346</v>
      </c>
      <c r="D54"/>
      <c r="F54">
        <f t="shared" si="0"/>
        <v>0</v>
      </c>
      <c r="G54">
        <f t="shared" si="0"/>
        <v>0</v>
      </c>
    </row>
    <row r="55" spans="2:7" ht="48" x14ac:dyDescent="0.2">
      <c r="B55" s="3" t="s">
        <v>3993</v>
      </c>
      <c r="C55" t="s">
        <v>3639</v>
      </c>
      <c r="D55"/>
      <c r="F55">
        <f t="shared" si="0"/>
        <v>0</v>
      </c>
      <c r="G55">
        <f t="shared" si="0"/>
        <v>0</v>
      </c>
    </row>
    <row r="56" spans="2:7" ht="48" x14ac:dyDescent="0.2">
      <c r="B56" s="3" t="s">
        <v>3994</v>
      </c>
      <c r="C56" t="s">
        <v>3923</v>
      </c>
      <c r="D56"/>
      <c r="F56">
        <f t="shared" si="0"/>
        <v>0</v>
      </c>
      <c r="G56">
        <f t="shared" si="0"/>
        <v>0</v>
      </c>
    </row>
    <row r="57" spans="2:7" ht="48" x14ac:dyDescent="0.2">
      <c r="B57" s="3" t="s">
        <v>3995</v>
      </c>
      <c r="C57" t="s">
        <v>3646</v>
      </c>
      <c r="D57"/>
      <c r="F57">
        <f t="shared" si="0"/>
        <v>0</v>
      </c>
      <c r="G57">
        <f t="shared" si="0"/>
        <v>0</v>
      </c>
    </row>
    <row r="58" spans="2:7" ht="48" x14ac:dyDescent="0.2">
      <c r="B58" s="3" t="s">
        <v>3996</v>
      </c>
      <c r="C58" t="s">
        <v>31</v>
      </c>
      <c r="D58"/>
      <c r="E58" t="s">
        <v>280</v>
      </c>
      <c r="F58">
        <f t="shared" si="0"/>
        <v>0</v>
      </c>
      <c r="G58">
        <f t="shared" si="0"/>
        <v>1</v>
      </c>
    </row>
    <row r="59" spans="2:7" ht="48" x14ac:dyDescent="0.2">
      <c r="B59" s="3" t="s">
        <v>3997</v>
      </c>
      <c r="C59" t="s">
        <v>3527</v>
      </c>
      <c r="D59"/>
      <c r="F59">
        <f t="shared" si="0"/>
        <v>0</v>
      </c>
      <c r="G59">
        <f t="shared" si="0"/>
        <v>0</v>
      </c>
    </row>
    <row r="60" spans="2:7" ht="32" x14ac:dyDescent="0.2">
      <c r="B60" s="3" t="s">
        <v>3998</v>
      </c>
      <c r="C60" t="s">
        <v>3999</v>
      </c>
      <c r="D60"/>
      <c r="F60">
        <f t="shared" si="0"/>
        <v>0</v>
      </c>
      <c r="G60">
        <f t="shared" si="0"/>
        <v>0</v>
      </c>
    </row>
    <row r="61" spans="2:7" ht="64" x14ac:dyDescent="0.2">
      <c r="B61" s="3" t="s">
        <v>4000</v>
      </c>
      <c r="C61" t="s">
        <v>3949</v>
      </c>
      <c r="D61"/>
      <c r="F61">
        <f t="shared" si="0"/>
        <v>0</v>
      </c>
      <c r="G61">
        <f t="shared" si="0"/>
        <v>0</v>
      </c>
    </row>
    <row r="62" spans="2:7" ht="48" x14ac:dyDescent="0.2">
      <c r="B62" s="3" t="s">
        <v>4001</v>
      </c>
      <c r="C62" t="s">
        <v>3952</v>
      </c>
      <c r="D62"/>
      <c r="F62">
        <f t="shared" si="0"/>
        <v>0</v>
      </c>
      <c r="G62">
        <f t="shared" si="0"/>
        <v>0</v>
      </c>
    </row>
    <row r="63" spans="2:7" ht="48" x14ac:dyDescent="0.2">
      <c r="B63" s="3" t="s">
        <v>4002</v>
      </c>
      <c r="C63" t="s">
        <v>3144</v>
      </c>
      <c r="D63"/>
      <c r="F63">
        <f t="shared" si="0"/>
        <v>0</v>
      </c>
      <c r="G63">
        <f t="shared" si="0"/>
        <v>0</v>
      </c>
    </row>
    <row r="64" spans="2:7" ht="48" x14ac:dyDescent="0.2">
      <c r="B64" s="3" t="s">
        <v>4003</v>
      </c>
      <c r="C64" t="s">
        <v>4004</v>
      </c>
      <c r="D64"/>
      <c r="F64">
        <f t="shared" si="0"/>
        <v>0</v>
      </c>
      <c r="G64">
        <f t="shared" si="0"/>
        <v>0</v>
      </c>
    </row>
    <row r="65" spans="2:7" ht="48" x14ac:dyDescent="0.2">
      <c r="B65" s="3" t="s">
        <v>4005</v>
      </c>
      <c r="C65" t="s">
        <v>37</v>
      </c>
      <c r="D65"/>
      <c r="E65" t="s">
        <v>4056</v>
      </c>
      <c r="F65">
        <f t="shared" si="0"/>
        <v>0</v>
      </c>
      <c r="G65">
        <v>2</v>
      </c>
    </row>
    <row r="66" spans="2:7" ht="48" x14ac:dyDescent="0.2">
      <c r="B66" s="3" t="s">
        <v>4006</v>
      </c>
      <c r="C66" t="s">
        <v>4007</v>
      </c>
      <c r="D66"/>
      <c r="F66">
        <f t="shared" si="0"/>
        <v>0</v>
      </c>
      <c r="G66">
        <f t="shared" si="0"/>
        <v>0</v>
      </c>
    </row>
    <row r="67" spans="2:7" ht="48" x14ac:dyDescent="0.2">
      <c r="B67" s="3" t="s">
        <v>4008</v>
      </c>
      <c r="C67" t="s">
        <v>30</v>
      </c>
      <c r="D67"/>
      <c r="F67">
        <f t="shared" ref="F67:G101" si="1">IF(D67="",0,1)</f>
        <v>0</v>
      </c>
      <c r="G67">
        <f t="shared" si="1"/>
        <v>0</v>
      </c>
    </row>
    <row r="68" spans="2:7" ht="48" x14ac:dyDescent="0.2">
      <c r="B68" s="3" t="s">
        <v>4009</v>
      </c>
      <c r="C68" t="s">
        <v>181</v>
      </c>
      <c r="D68"/>
      <c r="F68">
        <f t="shared" si="1"/>
        <v>0</v>
      </c>
      <c r="G68">
        <f t="shared" si="1"/>
        <v>0</v>
      </c>
    </row>
    <row r="69" spans="2:7" ht="48" x14ac:dyDescent="0.2">
      <c r="B69" s="3" t="s">
        <v>4010</v>
      </c>
      <c r="C69" t="s">
        <v>131</v>
      </c>
      <c r="D69"/>
      <c r="E69" t="s">
        <v>789</v>
      </c>
      <c r="F69">
        <f t="shared" si="1"/>
        <v>0</v>
      </c>
      <c r="G69">
        <f t="shared" si="1"/>
        <v>1</v>
      </c>
    </row>
    <row r="70" spans="2:7" ht="48" x14ac:dyDescent="0.2">
      <c r="B70" s="3" t="s">
        <v>4011</v>
      </c>
      <c r="C70" t="s">
        <v>4012</v>
      </c>
      <c r="D70"/>
      <c r="F70">
        <f t="shared" si="1"/>
        <v>0</v>
      </c>
      <c r="G70">
        <f t="shared" si="1"/>
        <v>0</v>
      </c>
    </row>
    <row r="71" spans="2:7" ht="48" x14ac:dyDescent="0.2">
      <c r="B71" s="3" t="s">
        <v>4013</v>
      </c>
      <c r="C71" t="s">
        <v>4014</v>
      </c>
      <c r="D71"/>
      <c r="F71">
        <f t="shared" si="1"/>
        <v>0</v>
      </c>
      <c r="G71">
        <f t="shared" si="1"/>
        <v>0</v>
      </c>
    </row>
    <row r="72" spans="2:7" ht="48" x14ac:dyDescent="0.2">
      <c r="B72" s="3" t="s">
        <v>4015</v>
      </c>
      <c r="C72" t="s">
        <v>3527</v>
      </c>
      <c r="D72"/>
      <c r="F72">
        <f t="shared" si="1"/>
        <v>0</v>
      </c>
      <c r="G72">
        <f t="shared" si="1"/>
        <v>0</v>
      </c>
    </row>
    <row r="73" spans="2:7" ht="48" x14ac:dyDescent="0.2">
      <c r="B73" s="3" t="s">
        <v>4016</v>
      </c>
      <c r="C73" t="s">
        <v>42</v>
      </c>
      <c r="D73"/>
      <c r="F73">
        <f t="shared" si="1"/>
        <v>0</v>
      </c>
      <c r="G73">
        <f t="shared" si="1"/>
        <v>0</v>
      </c>
    </row>
    <row r="74" spans="2:7" ht="48" x14ac:dyDescent="0.2">
      <c r="B74" s="3" t="s">
        <v>4017</v>
      </c>
      <c r="C74" t="s">
        <v>4018</v>
      </c>
      <c r="D74"/>
      <c r="F74">
        <f t="shared" si="1"/>
        <v>0</v>
      </c>
      <c r="G74">
        <f t="shared" si="1"/>
        <v>0</v>
      </c>
    </row>
    <row r="75" spans="2:7" ht="64" x14ac:dyDescent="0.2">
      <c r="B75" s="3" t="s">
        <v>4019</v>
      </c>
      <c r="C75" t="s">
        <v>13</v>
      </c>
      <c r="D75"/>
      <c r="F75">
        <f t="shared" si="1"/>
        <v>0</v>
      </c>
      <c r="G75">
        <f t="shared" si="1"/>
        <v>0</v>
      </c>
    </row>
    <row r="76" spans="2:7" ht="48" x14ac:dyDescent="0.2">
      <c r="B76" s="3" t="s">
        <v>4020</v>
      </c>
      <c r="C76" t="s">
        <v>4021</v>
      </c>
      <c r="D76"/>
      <c r="E76" t="s">
        <v>48</v>
      </c>
      <c r="F76">
        <f t="shared" si="1"/>
        <v>0</v>
      </c>
      <c r="G76">
        <f t="shared" si="1"/>
        <v>1</v>
      </c>
    </row>
    <row r="77" spans="2:7" ht="48" x14ac:dyDescent="0.2">
      <c r="B77" s="3" t="s">
        <v>4022</v>
      </c>
      <c r="C77" t="s">
        <v>4023</v>
      </c>
      <c r="D77"/>
      <c r="F77">
        <f t="shared" si="1"/>
        <v>0</v>
      </c>
      <c r="G77">
        <f t="shared" si="1"/>
        <v>0</v>
      </c>
    </row>
    <row r="78" spans="2:7" ht="48" x14ac:dyDescent="0.2">
      <c r="B78" s="3" t="s">
        <v>4024</v>
      </c>
      <c r="C78" t="s">
        <v>4025</v>
      </c>
      <c r="D78"/>
      <c r="F78">
        <f t="shared" si="1"/>
        <v>0</v>
      </c>
      <c r="G78">
        <f t="shared" si="1"/>
        <v>0</v>
      </c>
    </row>
    <row r="79" spans="2:7" ht="48" x14ac:dyDescent="0.2">
      <c r="B79" s="3" t="s">
        <v>4026</v>
      </c>
      <c r="C79" t="s">
        <v>84</v>
      </c>
      <c r="D79"/>
      <c r="F79">
        <f t="shared" si="1"/>
        <v>0</v>
      </c>
      <c r="G79">
        <f t="shared" si="1"/>
        <v>0</v>
      </c>
    </row>
    <row r="80" spans="2:7" ht="48" x14ac:dyDescent="0.2">
      <c r="B80" s="3" t="s">
        <v>4027</v>
      </c>
      <c r="C80" t="s">
        <v>3952</v>
      </c>
      <c r="D80"/>
      <c r="F80">
        <f t="shared" si="1"/>
        <v>0</v>
      </c>
      <c r="G80">
        <f t="shared" si="1"/>
        <v>0</v>
      </c>
    </row>
    <row r="81" spans="2:7" ht="48" x14ac:dyDescent="0.2">
      <c r="B81" s="3" t="s">
        <v>4028</v>
      </c>
      <c r="C81" t="s">
        <v>72</v>
      </c>
      <c r="D81"/>
      <c r="F81">
        <f t="shared" si="1"/>
        <v>0</v>
      </c>
      <c r="G81">
        <f t="shared" si="1"/>
        <v>0</v>
      </c>
    </row>
    <row r="82" spans="2:7" ht="32" x14ac:dyDescent="0.2">
      <c r="B82" s="3" t="s">
        <v>4029</v>
      </c>
      <c r="C82" t="s">
        <v>107</v>
      </c>
      <c r="D82"/>
      <c r="F82">
        <f t="shared" si="1"/>
        <v>0</v>
      </c>
      <c r="G82">
        <f t="shared" si="1"/>
        <v>0</v>
      </c>
    </row>
    <row r="83" spans="2:7" ht="48" x14ac:dyDescent="0.2">
      <c r="B83" s="3" t="s">
        <v>4030</v>
      </c>
      <c r="C83" t="s">
        <v>1850</v>
      </c>
      <c r="D83"/>
      <c r="F83">
        <f t="shared" si="1"/>
        <v>0</v>
      </c>
      <c r="G83">
        <f t="shared" si="1"/>
        <v>0</v>
      </c>
    </row>
    <row r="84" spans="2:7" ht="48" x14ac:dyDescent="0.2">
      <c r="B84" s="3" t="s">
        <v>4031</v>
      </c>
      <c r="C84" t="s">
        <v>4032</v>
      </c>
      <c r="D84"/>
      <c r="F84">
        <f t="shared" si="1"/>
        <v>0</v>
      </c>
      <c r="G84">
        <f t="shared" si="1"/>
        <v>0</v>
      </c>
    </row>
    <row r="85" spans="2:7" ht="48" x14ac:dyDescent="0.2">
      <c r="B85" s="3" t="s">
        <v>4033</v>
      </c>
      <c r="C85" t="s">
        <v>3949</v>
      </c>
      <c r="D85"/>
      <c r="F85">
        <f t="shared" si="1"/>
        <v>0</v>
      </c>
      <c r="G85">
        <f t="shared" si="1"/>
        <v>0</v>
      </c>
    </row>
    <row r="86" spans="2:7" ht="48" x14ac:dyDescent="0.2">
      <c r="B86" s="3" t="s">
        <v>4034</v>
      </c>
      <c r="C86" t="s">
        <v>40</v>
      </c>
      <c r="D86"/>
      <c r="F86">
        <f t="shared" si="1"/>
        <v>0</v>
      </c>
      <c r="G86">
        <f t="shared" si="1"/>
        <v>0</v>
      </c>
    </row>
    <row r="87" spans="2:7" ht="48" x14ac:dyDescent="0.2">
      <c r="B87" s="3" t="s">
        <v>4035</v>
      </c>
      <c r="C87" t="s">
        <v>4036</v>
      </c>
      <c r="D87"/>
      <c r="F87">
        <f t="shared" si="1"/>
        <v>0</v>
      </c>
      <c r="G87">
        <f t="shared" si="1"/>
        <v>0</v>
      </c>
    </row>
    <row r="88" spans="2:7" ht="48" x14ac:dyDescent="0.2">
      <c r="B88" s="3" t="s">
        <v>4037</v>
      </c>
      <c r="C88" t="s">
        <v>127</v>
      </c>
      <c r="D88"/>
      <c r="F88">
        <f t="shared" si="1"/>
        <v>0</v>
      </c>
      <c r="G88">
        <f t="shared" si="1"/>
        <v>0</v>
      </c>
    </row>
    <row r="89" spans="2:7" ht="64" x14ac:dyDescent="0.2">
      <c r="B89" s="3" t="s">
        <v>4038</v>
      </c>
      <c r="C89" t="s">
        <v>103</v>
      </c>
      <c r="D89"/>
      <c r="F89">
        <f t="shared" si="1"/>
        <v>0</v>
      </c>
      <c r="G89">
        <f t="shared" si="1"/>
        <v>0</v>
      </c>
    </row>
    <row r="90" spans="2:7" ht="64" x14ac:dyDescent="0.2">
      <c r="B90" s="3" t="s">
        <v>4039</v>
      </c>
      <c r="C90" t="s">
        <v>62</v>
      </c>
      <c r="D90"/>
      <c r="F90">
        <f t="shared" si="1"/>
        <v>0</v>
      </c>
      <c r="G90">
        <f t="shared" si="1"/>
        <v>0</v>
      </c>
    </row>
    <row r="91" spans="2:7" ht="48" x14ac:dyDescent="0.2">
      <c r="B91" s="3" t="s">
        <v>4040</v>
      </c>
      <c r="C91" t="s">
        <v>221</v>
      </c>
      <c r="D91"/>
      <c r="F91">
        <f t="shared" si="1"/>
        <v>0</v>
      </c>
      <c r="G91">
        <f t="shared" si="1"/>
        <v>0</v>
      </c>
    </row>
    <row r="92" spans="2:7" ht="32" x14ac:dyDescent="0.2">
      <c r="B92" s="3" t="s">
        <v>4041</v>
      </c>
      <c r="C92" t="s">
        <v>181</v>
      </c>
      <c r="D92"/>
      <c r="F92">
        <f t="shared" si="1"/>
        <v>0</v>
      </c>
      <c r="G92">
        <f t="shared" si="1"/>
        <v>0</v>
      </c>
    </row>
    <row r="93" spans="2:7" ht="48" x14ac:dyDescent="0.2">
      <c r="B93" s="3" t="s">
        <v>4042</v>
      </c>
      <c r="C93" t="s">
        <v>3949</v>
      </c>
      <c r="D93"/>
      <c r="F93">
        <f t="shared" si="1"/>
        <v>0</v>
      </c>
      <c r="G93">
        <f t="shared" si="1"/>
        <v>0</v>
      </c>
    </row>
    <row r="94" spans="2:7" ht="48" x14ac:dyDescent="0.2">
      <c r="B94" s="3" t="s">
        <v>4043</v>
      </c>
      <c r="C94" t="s">
        <v>4044</v>
      </c>
      <c r="D94"/>
      <c r="F94">
        <f t="shared" si="1"/>
        <v>0</v>
      </c>
      <c r="G94">
        <f t="shared" si="1"/>
        <v>0</v>
      </c>
    </row>
    <row r="95" spans="2:7" ht="64" x14ac:dyDescent="0.2">
      <c r="B95" s="3" t="s">
        <v>4045</v>
      </c>
      <c r="C95" t="s">
        <v>159</v>
      </c>
      <c r="D95"/>
      <c r="F95">
        <f t="shared" si="1"/>
        <v>0</v>
      </c>
      <c r="G95">
        <f t="shared" si="1"/>
        <v>0</v>
      </c>
    </row>
    <row r="96" spans="2:7" ht="48" x14ac:dyDescent="0.2">
      <c r="B96" s="3" t="s">
        <v>4046</v>
      </c>
      <c r="C96" t="s">
        <v>4047</v>
      </c>
      <c r="D96"/>
      <c r="F96">
        <f t="shared" si="1"/>
        <v>0</v>
      </c>
      <c r="G96">
        <f t="shared" si="1"/>
        <v>0</v>
      </c>
    </row>
    <row r="97" spans="2:7" ht="48" x14ac:dyDescent="0.2">
      <c r="B97" s="3" t="s">
        <v>4048</v>
      </c>
      <c r="C97" t="s">
        <v>4049</v>
      </c>
      <c r="D97"/>
      <c r="F97">
        <f t="shared" si="1"/>
        <v>0</v>
      </c>
      <c r="G97">
        <f t="shared" si="1"/>
        <v>0</v>
      </c>
    </row>
    <row r="98" spans="2:7" ht="48" x14ac:dyDescent="0.2">
      <c r="B98" s="3" t="s">
        <v>4050</v>
      </c>
      <c r="C98" t="s">
        <v>30</v>
      </c>
      <c r="D98"/>
      <c r="F98">
        <f t="shared" si="1"/>
        <v>0</v>
      </c>
      <c r="G98">
        <f t="shared" si="1"/>
        <v>0</v>
      </c>
    </row>
    <row r="99" spans="2:7" ht="48" x14ac:dyDescent="0.2">
      <c r="B99" s="3" t="s">
        <v>4051</v>
      </c>
      <c r="C99" t="s">
        <v>4052</v>
      </c>
      <c r="D99"/>
      <c r="F99">
        <f t="shared" si="1"/>
        <v>0</v>
      </c>
      <c r="G99">
        <f t="shared" si="1"/>
        <v>0</v>
      </c>
    </row>
    <row r="100" spans="2:7" ht="48" x14ac:dyDescent="0.2">
      <c r="B100" s="3" t="s">
        <v>4053</v>
      </c>
      <c r="C100" t="s">
        <v>66</v>
      </c>
      <c r="D100"/>
      <c r="F100">
        <f t="shared" si="1"/>
        <v>0</v>
      </c>
      <c r="G100">
        <f t="shared" si="1"/>
        <v>0</v>
      </c>
    </row>
    <row r="101" spans="2:7" ht="48" x14ac:dyDescent="0.2">
      <c r="B101" s="3" t="s">
        <v>4054</v>
      </c>
      <c r="C101" t="s">
        <v>3527</v>
      </c>
      <c r="D101"/>
      <c r="F101">
        <f t="shared" si="1"/>
        <v>0</v>
      </c>
      <c r="G101">
        <f t="shared" si="1"/>
        <v>0</v>
      </c>
    </row>
    <row r="102" spans="2:7" ht="48" x14ac:dyDescent="0.2">
      <c r="B102" s="3" t="s">
        <v>4055</v>
      </c>
      <c r="C102" t="s">
        <v>97</v>
      </c>
      <c r="E102" t="s">
        <v>1022</v>
      </c>
    </row>
    <row r="103" spans="2:7" x14ac:dyDescent="0.2">
      <c r="F103" s="10">
        <f>SUM(F2:F101)</f>
        <v>1</v>
      </c>
      <c r="G103" s="10">
        <f>SUM(G2:G101)</f>
        <v>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5341-C234-054F-BC70-6E41A0E75767}">
  <dimension ref="A1:G103"/>
  <sheetViews>
    <sheetView topLeftCell="A94" zoomScale="150" zoomScaleNormal="150" workbookViewId="0">
      <selection activeCell="D103" sqref="D103"/>
    </sheetView>
  </sheetViews>
  <sheetFormatPr baseColWidth="10" defaultRowHeight="15" x14ac:dyDescent="0.2"/>
  <cols>
    <col min="1" max="1" width="10" style="3" customWidth="1"/>
    <col min="2" max="2" width="56.1640625" style="7" customWidth="1"/>
    <col min="4" max="4" width="15.1640625" style="9" customWidth="1"/>
    <col min="5" max="5" width="13.33203125" customWidth="1"/>
  </cols>
  <sheetData>
    <row r="1" spans="1:7" ht="16" x14ac:dyDescent="0.2">
      <c r="A1" s="2" t="s">
        <v>0</v>
      </c>
      <c r="B1" s="2" t="s">
        <v>0</v>
      </c>
      <c r="C1" s="1" t="s">
        <v>1</v>
      </c>
      <c r="D1" s="8" t="s">
        <v>44</v>
      </c>
      <c r="E1" s="1" t="s">
        <v>45</v>
      </c>
      <c r="F1" s="1" t="s">
        <v>44</v>
      </c>
      <c r="G1" s="1" t="s">
        <v>45</v>
      </c>
    </row>
    <row r="2" spans="1:7" ht="64" x14ac:dyDescent="0.2">
      <c r="B2" s="3" t="s">
        <v>4057</v>
      </c>
      <c r="C2" t="s">
        <v>1390</v>
      </c>
      <c r="D2"/>
      <c r="E2" t="s">
        <v>4174</v>
      </c>
      <c r="F2">
        <f>IF(D2="",0,1)</f>
        <v>0</v>
      </c>
      <c r="G2">
        <f>IF(E2="",0,1)</f>
        <v>1</v>
      </c>
    </row>
    <row r="3" spans="1:7" ht="48" x14ac:dyDescent="0.2">
      <c r="B3" s="3" t="s">
        <v>4058</v>
      </c>
      <c r="C3" t="s">
        <v>4059</v>
      </c>
      <c r="D3"/>
      <c r="F3">
        <f t="shared" ref="F3:G66" si="0">IF(D3="",0,1)</f>
        <v>0</v>
      </c>
      <c r="G3">
        <f t="shared" si="0"/>
        <v>0</v>
      </c>
    </row>
    <row r="4" spans="1:7" ht="48" x14ac:dyDescent="0.2">
      <c r="B4" s="3" t="s">
        <v>4060</v>
      </c>
      <c r="C4" t="s">
        <v>6</v>
      </c>
      <c r="D4"/>
      <c r="F4">
        <f t="shared" si="0"/>
        <v>0</v>
      </c>
      <c r="G4">
        <f t="shared" si="0"/>
        <v>0</v>
      </c>
    </row>
    <row r="5" spans="1:7" ht="48" x14ac:dyDescent="0.2">
      <c r="B5" s="3" t="s">
        <v>4061</v>
      </c>
      <c r="C5" t="s">
        <v>66</v>
      </c>
      <c r="D5"/>
      <c r="F5">
        <f t="shared" si="0"/>
        <v>0</v>
      </c>
      <c r="G5">
        <f t="shared" si="0"/>
        <v>0</v>
      </c>
    </row>
    <row r="6" spans="1:7" ht="48" x14ac:dyDescent="0.2">
      <c r="B6" s="3" t="s">
        <v>4062</v>
      </c>
      <c r="C6" t="s">
        <v>30</v>
      </c>
      <c r="D6"/>
      <c r="F6">
        <f t="shared" si="0"/>
        <v>0</v>
      </c>
      <c r="G6">
        <f t="shared" si="0"/>
        <v>0</v>
      </c>
    </row>
    <row r="7" spans="1:7" ht="48" x14ac:dyDescent="0.2">
      <c r="B7" s="3" t="s">
        <v>4063</v>
      </c>
      <c r="C7" t="s">
        <v>103</v>
      </c>
      <c r="D7"/>
      <c r="F7">
        <f t="shared" si="0"/>
        <v>0</v>
      </c>
      <c r="G7">
        <f t="shared" si="0"/>
        <v>0</v>
      </c>
    </row>
    <row r="8" spans="1:7" ht="48" x14ac:dyDescent="0.2">
      <c r="B8" s="3" t="s">
        <v>4064</v>
      </c>
      <c r="C8" t="s">
        <v>4065</v>
      </c>
      <c r="D8"/>
      <c r="E8" t="s">
        <v>48</v>
      </c>
      <c r="F8">
        <f t="shared" si="0"/>
        <v>0</v>
      </c>
      <c r="G8">
        <f t="shared" si="0"/>
        <v>1</v>
      </c>
    </row>
    <row r="9" spans="1:7" ht="64" x14ac:dyDescent="0.2">
      <c r="B9" s="3" t="s">
        <v>4066</v>
      </c>
      <c r="C9" t="s">
        <v>2704</v>
      </c>
      <c r="D9" t="s">
        <v>87</v>
      </c>
      <c r="F9">
        <f t="shared" si="0"/>
        <v>1</v>
      </c>
      <c r="G9">
        <f t="shared" si="0"/>
        <v>0</v>
      </c>
    </row>
    <row r="10" spans="1:7" ht="48" x14ac:dyDescent="0.2">
      <c r="B10" s="3" t="s">
        <v>4067</v>
      </c>
      <c r="C10" t="s">
        <v>67</v>
      </c>
      <c r="D10"/>
      <c r="F10">
        <f t="shared" si="0"/>
        <v>0</v>
      </c>
      <c r="G10">
        <f t="shared" si="0"/>
        <v>0</v>
      </c>
    </row>
    <row r="11" spans="1:7" ht="48" x14ac:dyDescent="0.2">
      <c r="B11" s="3" t="s">
        <v>4068</v>
      </c>
      <c r="C11" t="s">
        <v>30</v>
      </c>
      <c r="D11"/>
      <c r="F11">
        <f t="shared" si="0"/>
        <v>0</v>
      </c>
      <c r="G11">
        <f t="shared" si="0"/>
        <v>0</v>
      </c>
    </row>
    <row r="12" spans="1:7" ht="48" x14ac:dyDescent="0.2">
      <c r="B12" s="3" t="s">
        <v>4069</v>
      </c>
      <c r="C12" t="s">
        <v>4070</v>
      </c>
      <c r="D12"/>
      <c r="F12">
        <f t="shared" si="0"/>
        <v>0</v>
      </c>
      <c r="G12">
        <f t="shared" si="0"/>
        <v>0</v>
      </c>
    </row>
    <row r="13" spans="1:7" ht="48" x14ac:dyDescent="0.2">
      <c r="B13" s="3" t="s">
        <v>4071</v>
      </c>
      <c r="C13" t="s">
        <v>2091</v>
      </c>
      <c r="D13"/>
      <c r="F13">
        <f t="shared" si="0"/>
        <v>0</v>
      </c>
      <c r="G13">
        <f t="shared" si="0"/>
        <v>0</v>
      </c>
    </row>
    <row r="14" spans="1:7" ht="64" x14ac:dyDescent="0.2">
      <c r="B14" s="3" t="s">
        <v>4072</v>
      </c>
      <c r="C14" t="s">
        <v>228</v>
      </c>
      <c r="D14"/>
      <c r="F14">
        <f t="shared" si="0"/>
        <v>0</v>
      </c>
      <c r="G14">
        <f t="shared" si="0"/>
        <v>0</v>
      </c>
    </row>
    <row r="15" spans="1:7" ht="48" x14ac:dyDescent="0.2">
      <c r="B15" s="3" t="s">
        <v>4073</v>
      </c>
      <c r="C15" t="s">
        <v>2</v>
      </c>
      <c r="D15"/>
      <c r="F15">
        <f t="shared" si="0"/>
        <v>0</v>
      </c>
      <c r="G15">
        <f t="shared" si="0"/>
        <v>0</v>
      </c>
    </row>
    <row r="16" spans="1:7" ht="64" x14ac:dyDescent="0.2">
      <c r="B16" s="3" t="s">
        <v>4074</v>
      </c>
      <c r="C16" t="s">
        <v>11</v>
      </c>
      <c r="D16"/>
      <c r="F16">
        <f t="shared" si="0"/>
        <v>0</v>
      </c>
      <c r="G16">
        <f t="shared" si="0"/>
        <v>0</v>
      </c>
    </row>
    <row r="17" spans="2:7" ht="64" x14ac:dyDescent="0.2">
      <c r="B17" s="3" t="s">
        <v>4075</v>
      </c>
      <c r="C17" t="s">
        <v>1134</v>
      </c>
      <c r="D17"/>
      <c r="F17">
        <f t="shared" si="0"/>
        <v>0</v>
      </c>
      <c r="G17">
        <f t="shared" si="0"/>
        <v>0</v>
      </c>
    </row>
    <row r="18" spans="2:7" ht="48" x14ac:dyDescent="0.2">
      <c r="B18" s="3" t="s">
        <v>4076</v>
      </c>
      <c r="C18" t="s">
        <v>268</v>
      </c>
      <c r="D18"/>
      <c r="F18">
        <f t="shared" si="0"/>
        <v>0</v>
      </c>
      <c r="G18">
        <f t="shared" si="0"/>
        <v>0</v>
      </c>
    </row>
    <row r="19" spans="2:7" ht="48" x14ac:dyDescent="0.2">
      <c r="B19" s="3" t="s">
        <v>4077</v>
      </c>
      <c r="C19" t="s">
        <v>4078</v>
      </c>
      <c r="D19"/>
      <c r="F19">
        <f t="shared" si="0"/>
        <v>0</v>
      </c>
      <c r="G19">
        <f t="shared" si="0"/>
        <v>0</v>
      </c>
    </row>
    <row r="20" spans="2:7" ht="32" x14ac:dyDescent="0.2">
      <c r="B20" s="3" t="s">
        <v>4079</v>
      </c>
      <c r="C20" t="s">
        <v>193</v>
      </c>
      <c r="D20"/>
      <c r="E20" t="s">
        <v>48</v>
      </c>
      <c r="F20">
        <f t="shared" si="0"/>
        <v>0</v>
      </c>
      <c r="G20">
        <f t="shared" si="0"/>
        <v>1</v>
      </c>
    </row>
    <row r="21" spans="2:7" ht="48" x14ac:dyDescent="0.2">
      <c r="B21" s="3" t="s">
        <v>4080</v>
      </c>
      <c r="C21" t="s">
        <v>5</v>
      </c>
      <c r="D21"/>
      <c r="F21">
        <f t="shared" si="0"/>
        <v>0</v>
      </c>
      <c r="G21">
        <f t="shared" si="0"/>
        <v>0</v>
      </c>
    </row>
    <row r="22" spans="2:7" ht="32" x14ac:dyDescent="0.2">
      <c r="B22" s="3" t="s">
        <v>4081</v>
      </c>
      <c r="C22" t="s">
        <v>83</v>
      </c>
      <c r="D22"/>
      <c r="F22">
        <f t="shared" si="0"/>
        <v>0</v>
      </c>
      <c r="G22">
        <f t="shared" si="0"/>
        <v>0</v>
      </c>
    </row>
    <row r="23" spans="2:7" ht="48" x14ac:dyDescent="0.2">
      <c r="B23" s="3" t="s">
        <v>4082</v>
      </c>
      <c r="C23" t="s">
        <v>4083</v>
      </c>
      <c r="D23"/>
      <c r="F23">
        <f t="shared" si="0"/>
        <v>0</v>
      </c>
      <c r="G23">
        <f t="shared" si="0"/>
        <v>0</v>
      </c>
    </row>
    <row r="24" spans="2:7" ht="48" x14ac:dyDescent="0.2">
      <c r="B24" s="3" t="s">
        <v>4084</v>
      </c>
      <c r="C24" t="s">
        <v>6</v>
      </c>
      <c r="D24"/>
      <c r="F24">
        <f t="shared" si="0"/>
        <v>0</v>
      </c>
      <c r="G24">
        <f t="shared" si="0"/>
        <v>0</v>
      </c>
    </row>
    <row r="25" spans="2:7" ht="48" x14ac:dyDescent="0.2">
      <c r="B25" s="3" t="s">
        <v>4085</v>
      </c>
      <c r="C25" t="s">
        <v>2077</v>
      </c>
      <c r="D25"/>
      <c r="F25">
        <f t="shared" si="0"/>
        <v>0</v>
      </c>
      <c r="G25">
        <f t="shared" si="0"/>
        <v>0</v>
      </c>
    </row>
    <row r="26" spans="2:7" ht="64" x14ac:dyDescent="0.2">
      <c r="B26" s="3" t="s">
        <v>4086</v>
      </c>
      <c r="C26" t="s">
        <v>72</v>
      </c>
      <c r="D26"/>
      <c r="F26">
        <f t="shared" si="0"/>
        <v>0</v>
      </c>
      <c r="G26">
        <f t="shared" si="0"/>
        <v>0</v>
      </c>
    </row>
    <row r="27" spans="2:7" ht="64" x14ac:dyDescent="0.2">
      <c r="B27" s="3" t="s">
        <v>4087</v>
      </c>
      <c r="C27" t="s">
        <v>2</v>
      </c>
      <c r="D27"/>
      <c r="F27">
        <f t="shared" si="0"/>
        <v>0</v>
      </c>
      <c r="G27">
        <f t="shared" si="0"/>
        <v>0</v>
      </c>
    </row>
    <row r="28" spans="2:7" ht="48" x14ac:dyDescent="0.2">
      <c r="B28" s="3" t="s">
        <v>4088</v>
      </c>
      <c r="C28" t="s">
        <v>230</v>
      </c>
      <c r="D28"/>
      <c r="E28" t="s">
        <v>90</v>
      </c>
      <c r="F28">
        <f t="shared" si="0"/>
        <v>0</v>
      </c>
      <c r="G28">
        <f t="shared" si="0"/>
        <v>1</v>
      </c>
    </row>
    <row r="29" spans="2:7" ht="64" x14ac:dyDescent="0.2">
      <c r="B29" s="3" t="s">
        <v>4089</v>
      </c>
      <c r="C29" t="s">
        <v>2</v>
      </c>
      <c r="D29"/>
      <c r="F29">
        <f t="shared" si="0"/>
        <v>0</v>
      </c>
      <c r="G29">
        <f t="shared" si="0"/>
        <v>0</v>
      </c>
    </row>
    <row r="30" spans="2:7" ht="48" x14ac:dyDescent="0.2">
      <c r="B30" s="3" t="s">
        <v>4090</v>
      </c>
      <c r="C30" t="s">
        <v>137</v>
      </c>
      <c r="D30"/>
      <c r="F30">
        <f t="shared" si="0"/>
        <v>0</v>
      </c>
      <c r="G30">
        <f t="shared" si="0"/>
        <v>0</v>
      </c>
    </row>
    <row r="31" spans="2:7" ht="48" x14ac:dyDescent="0.2">
      <c r="B31" s="3" t="s">
        <v>4091</v>
      </c>
      <c r="C31" t="s">
        <v>6</v>
      </c>
      <c r="D31"/>
      <c r="F31">
        <f t="shared" si="0"/>
        <v>0</v>
      </c>
      <c r="G31">
        <f t="shared" si="0"/>
        <v>0</v>
      </c>
    </row>
    <row r="32" spans="2:7" ht="48" x14ac:dyDescent="0.2">
      <c r="B32" s="3" t="s">
        <v>4092</v>
      </c>
      <c r="C32" t="s">
        <v>2472</v>
      </c>
      <c r="D32"/>
      <c r="F32">
        <f t="shared" si="0"/>
        <v>0</v>
      </c>
      <c r="G32">
        <f t="shared" si="0"/>
        <v>0</v>
      </c>
    </row>
    <row r="33" spans="2:7" ht="64" x14ac:dyDescent="0.2">
      <c r="B33" s="3" t="s">
        <v>4093</v>
      </c>
      <c r="C33" t="s">
        <v>10</v>
      </c>
      <c r="D33"/>
      <c r="F33">
        <f t="shared" si="0"/>
        <v>0</v>
      </c>
      <c r="G33">
        <f t="shared" si="0"/>
        <v>0</v>
      </c>
    </row>
    <row r="34" spans="2:7" ht="64" x14ac:dyDescent="0.2">
      <c r="B34" s="3" t="s">
        <v>4094</v>
      </c>
      <c r="C34" t="s">
        <v>11</v>
      </c>
      <c r="D34"/>
      <c r="F34">
        <f t="shared" si="0"/>
        <v>0</v>
      </c>
      <c r="G34">
        <f t="shared" si="0"/>
        <v>0</v>
      </c>
    </row>
    <row r="35" spans="2:7" ht="16" x14ac:dyDescent="0.2">
      <c r="B35" s="3" t="s">
        <v>4095</v>
      </c>
      <c r="C35" t="s">
        <v>84</v>
      </c>
      <c r="D35"/>
      <c r="F35">
        <f t="shared" si="0"/>
        <v>0</v>
      </c>
      <c r="G35">
        <f t="shared" si="0"/>
        <v>0</v>
      </c>
    </row>
    <row r="36" spans="2:7" ht="48" x14ac:dyDescent="0.2">
      <c r="B36" s="3" t="s">
        <v>4096</v>
      </c>
      <c r="C36" t="s">
        <v>4097</v>
      </c>
      <c r="D36"/>
      <c r="F36">
        <f t="shared" si="0"/>
        <v>0</v>
      </c>
      <c r="G36">
        <f t="shared" si="0"/>
        <v>0</v>
      </c>
    </row>
    <row r="37" spans="2:7" ht="48" x14ac:dyDescent="0.2">
      <c r="B37" s="3" t="s">
        <v>4098</v>
      </c>
      <c r="C37" t="s">
        <v>2</v>
      </c>
      <c r="D37"/>
      <c r="F37">
        <f t="shared" si="0"/>
        <v>0</v>
      </c>
      <c r="G37">
        <f t="shared" si="0"/>
        <v>0</v>
      </c>
    </row>
    <row r="38" spans="2:7" ht="64" x14ac:dyDescent="0.2">
      <c r="B38" s="3" t="s">
        <v>4099</v>
      </c>
      <c r="C38" t="s">
        <v>130</v>
      </c>
      <c r="D38"/>
      <c r="F38">
        <f t="shared" si="0"/>
        <v>0</v>
      </c>
      <c r="G38">
        <f t="shared" si="0"/>
        <v>0</v>
      </c>
    </row>
    <row r="39" spans="2:7" ht="48" x14ac:dyDescent="0.2">
      <c r="B39" s="3" t="s">
        <v>4100</v>
      </c>
      <c r="C39" t="s">
        <v>5</v>
      </c>
      <c r="D39"/>
      <c r="F39">
        <f t="shared" si="0"/>
        <v>0</v>
      </c>
      <c r="G39">
        <f t="shared" si="0"/>
        <v>0</v>
      </c>
    </row>
    <row r="40" spans="2:7" ht="48" x14ac:dyDescent="0.2">
      <c r="B40" s="3" t="s">
        <v>4101</v>
      </c>
      <c r="C40" t="s">
        <v>4102</v>
      </c>
      <c r="D40"/>
      <c r="F40">
        <f t="shared" si="0"/>
        <v>0</v>
      </c>
      <c r="G40">
        <f t="shared" si="0"/>
        <v>0</v>
      </c>
    </row>
    <row r="41" spans="2:7" ht="48" x14ac:dyDescent="0.2">
      <c r="B41" s="3" t="s">
        <v>4103</v>
      </c>
      <c r="C41" t="s">
        <v>220</v>
      </c>
      <c r="D41"/>
      <c r="F41">
        <f t="shared" si="0"/>
        <v>0</v>
      </c>
      <c r="G41">
        <f t="shared" si="0"/>
        <v>0</v>
      </c>
    </row>
    <row r="42" spans="2:7" ht="48" x14ac:dyDescent="0.2">
      <c r="B42" s="3" t="s">
        <v>4104</v>
      </c>
      <c r="C42" t="s">
        <v>4105</v>
      </c>
      <c r="D42"/>
      <c r="F42">
        <f t="shared" si="0"/>
        <v>0</v>
      </c>
      <c r="G42">
        <f t="shared" si="0"/>
        <v>0</v>
      </c>
    </row>
    <row r="43" spans="2:7" ht="48" x14ac:dyDescent="0.2">
      <c r="B43" s="3" t="s">
        <v>4106</v>
      </c>
      <c r="C43" t="s">
        <v>2473</v>
      </c>
      <c r="D43"/>
      <c r="F43">
        <f t="shared" si="0"/>
        <v>0</v>
      </c>
      <c r="G43">
        <f t="shared" si="0"/>
        <v>0</v>
      </c>
    </row>
    <row r="44" spans="2:7" ht="48" x14ac:dyDescent="0.2">
      <c r="B44" s="3" t="s">
        <v>4107</v>
      </c>
      <c r="C44" t="s">
        <v>4108</v>
      </c>
      <c r="D44"/>
      <c r="F44">
        <f t="shared" si="0"/>
        <v>0</v>
      </c>
      <c r="G44">
        <f t="shared" si="0"/>
        <v>0</v>
      </c>
    </row>
    <row r="45" spans="2:7" ht="48" x14ac:dyDescent="0.2">
      <c r="B45" s="3" t="s">
        <v>4109</v>
      </c>
      <c r="C45" t="s">
        <v>134</v>
      </c>
      <c r="D45"/>
      <c r="E45" t="s">
        <v>46</v>
      </c>
      <c r="F45">
        <f t="shared" si="0"/>
        <v>0</v>
      </c>
      <c r="G45">
        <f t="shared" si="0"/>
        <v>1</v>
      </c>
    </row>
    <row r="46" spans="2:7" ht="48" x14ac:dyDescent="0.2">
      <c r="B46" s="3" t="s">
        <v>4110</v>
      </c>
      <c r="C46" t="s">
        <v>103</v>
      </c>
      <c r="D46"/>
      <c r="F46">
        <f t="shared" si="0"/>
        <v>0</v>
      </c>
      <c r="G46">
        <f t="shared" si="0"/>
        <v>0</v>
      </c>
    </row>
    <row r="47" spans="2:7" ht="48" x14ac:dyDescent="0.2">
      <c r="B47" s="3" t="s">
        <v>4111</v>
      </c>
      <c r="C47" t="s">
        <v>4112</v>
      </c>
      <c r="D47"/>
      <c r="F47">
        <f t="shared" si="0"/>
        <v>0</v>
      </c>
      <c r="G47">
        <f t="shared" si="0"/>
        <v>0</v>
      </c>
    </row>
    <row r="48" spans="2:7" ht="64" x14ac:dyDescent="0.2">
      <c r="B48" s="3" t="s">
        <v>4113</v>
      </c>
      <c r="C48" t="s">
        <v>4114</v>
      </c>
      <c r="D48"/>
      <c r="F48">
        <f t="shared" si="0"/>
        <v>0</v>
      </c>
      <c r="G48">
        <f t="shared" si="0"/>
        <v>0</v>
      </c>
    </row>
    <row r="49" spans="2:7" ht="48" x14ac:dyDescent="0.2">
      <c r="B49" s="3" t="s">
        <v>4115</v>
      </c>
      <c r="C49" t="s">
        <v>158</v>
      </c>
      <c r="D49"/>
      <c r="F49">
        <f t="shared" si="0"/>
        <v>0</v>
      </c>
      <c r="G49">
        <f t="shared" si="0"/>
        <v>0</v>
      </c>
    </row>
    <row r="50" spans="2:7" ht="48" x14ac:dyDescent="0.2">
      <c r="B50" s="3" t="s">
        <v>4116</v>
      </c>
      <c r="C50" t="s">
        <v>77</v>
      </c>
      <c r="D50"/>
      <c r="F50">
        <f t="shared" si="0"/>
        <v>0</v>
      </c>
      <c r="G50">
        <f t="shared" si="0"/>
        <v>0</v>
      </c>
    </row>
    <row r="51" spans="2:7" ht="64" x14ac:dyDescent="0.2">
      <c r="B51" s="3" t="s">
        <v>4117</v>
      </c>
      <c r="C51" t="s">
        <v>11</v>
      </c>
      <c r="D51"/>
      <c r="F51">
        <f t="shared" si="0"/>
        <v>0</v>
      </c>
      <c r="G51">
        <f t="shared" si="0"/>
        <v>0</v>
      </c>
    </row>
    <row r="52" spans="2:7" ht="32" x14ac:dyDescent="0.2">
      <c r="B52" s="3" t="s">
        <v>4118</v>
      </c>
      <c r="C52" t="s">
        <v>30</v>
      </c>
      <c r="D52"/>
      <c r="F52">
        <f t="shared" si="0"/>
        <v>0</v>
      </c>
      <c r="G52">
        <f t="shared" si="0"/>
        <v>0</v>
      </c>
    </row>
    <row r="53" spans="2:7" ht="48" x14ac:dyDescent="0.2">
      <c r="B53" s="3" t="s">
        <v>4119</v>
      </c>
      <c r="C53" t="s">
        <v>33</v>
      </c>
      <c r="D53"/>
      <c r="F53">
        <f t="shared" si="0"/>
        <v>0</v>
      </c>
      <c r="G53">
        <f t="shared" si="0"/>
        <v>0</v>
      </c>
    </row>
    <row r="54" spans="2:7" ht="48" x14ac:dyDescent="0.2">
      <c r="B54" s="3" t="s">
        <v>4120</v>
      </c>
      <c r="C54" t="s">
        <v>105</v>
      </c>
      <c r="D54"/>
      <c r="F54">
        <f t="shared" si="0"/>
        <v>0</v>
      </c>
      <c r="G54">
        <f t="shared" si="0"/>
        <v>0</v>
      </c>
    </row>
    <row r="55" spans="2:7" ht="48" x14ac:dyDescent="0.2">
      <c r="B55" s="3" t="s">
        <v>4121</v>
      </c>
      <c r="C55" t="s">
        <v>254</v>
      </c>
      <c r="D55"/>
      <c r="F55">
        <f t="shared" si="0"/>
        <v>0</v>
      </c>
      <c r="G55">
        <f t="shared" si="0"/>
        <v>0</v>
      </c>
    </row>
    <row r="56" spans="2:7" ht="48" x14ac:dyDescent="0.2">
      <c r="B56" s="3" t="s">
        <v>4122</v>
      </c>
      <c r="C56" t="s">
        <v>4123</v>
      </c>
      <c r="D56"/>
      <c r="F56">
        <f t="shared" si="0"/>
        <v>0</v>
      </c>
      <c r="G56">
        <f t="shared" si="0"/>
        <v>0</v>
      </c>
    </row>
    <row r="57" spans="2:7" ht="48" x14ac:dyDescent="0.2">
      <c r="B57" s="3" t="s">
        <v>4124</v>
      </c>
      <c r="C57" t="s">
        <v>269</v>
      </c>
      <c r="D57"/>
      <c r="F57">
        <f t="shared" si="0"/>
        <v>0</v>
      </c>
      <c r="G57">
        <f t="shared" si="0"/>
        <v>0</v>
      </c>
    </row>
    <row r="58" spans="2:7" ht="48" x14ac:dyDescent="0.2">
      <c r="B58" s="3" t="s">
        <v>4125</v>
      </c>
      <c r="C58" t="s">
        <v>4126</v>
      </c>
      <c r="D58"/>
      <c r="F58">
        <f t="shared" si="0"/>
        <v>0</v>
      </c>
      <c r="G58">
        <f t="shared" si="0"/>
        <v>0</v>
      </c>
    </row>
    <row r="59" spans="2:7" ht="32" x14ac:dyDescent="0.2">
      <c r="B59" s="3" t="s">
        <v>4127</v>
      </c>
      <c r="C59" t="s">
        <v>30</v>
      </c>
      <c r="D59"/>
      <c r="F59">
        <f t="shared" si="0"/>
        <v>0</v>
      </c>
      <c r="G59">
        <f t="shared" si="0"/>
        <v>0</v>
      </c>
    </row>
    <row r="60" spans="2:7" ht="48" x14ac:dyDescent="0.2">
      <c r="B60" s="3" t="s">
        <v>4128</v>
      </c>
      <c r="C60" t="s">
        <v>4129</v>
      </c>
      <c r="D60" t="s">
        <v>3909</v>
      </c>
      <c r="F60">
        <f t="shared" si="0"/>
        <v>1</v>
      </c>
      <c r="G60">
        <f t="shared" si="0"/>
        <v>0</v>
      </c>
    </row>
    <row r="61" spans="2:7" ht="48" x14ac:dyDescent="0.2">
      <c r="B61" s="3" t="s">
        <v>4130</v>
      </c>
      <c r="C61" t="s">
        <v>98</v>
      </c>
      <c r="D61"/>
      <c r="F61">
        <f t="shared" si="0"/>
        <v>0</v>
      </c>
      <c r="G61">
        <f t="shared" si="0"/>
        <v>0</v>
      </c>
    </row>
    <row r="62" spans="2:7" ht="48" x14ac:dyDescent="0.2">
      <c r="B62" s="3" t="s">
        <v>4131</v>
      </c>
      <c r="C62" t="s">
        <v>134</v>
      </c>
      <c r="D62"/>
      <c r="F62">
        <f t="shared" si="0"/>
        <v>0</v>
      </c>
      <c r="G62">
        <f t="shared" si="0"/>
        <v>0</v>
      </c>
    </row>
    <row r="63" spans="2:7" ht="48" x14ac:dyDescent="0.2">
      <c r="B63" s="3" t="s">
        <v>4132</v>
      </c>
      <c r="C63" t="s">
        <v>137</v>
      </c>
      <c r="D63"/>
      <c r="F63">
        <f t="shared" si="0"/>
        <v>0</v>
      </c>
      <c r="G63">
        <f t="shared" si="0"/>
        <v>0</v>
      </c>
    </row>
    <row r="64" spans="2:7" ht="48" x14ac:dyDescent="0.2">
      <c r="B64" s="3" t="s">
        <v>4133</v>
      </c>
      <c r="C64" t="s">
        <v>22</v>
      </c>
      <c r="D64"/>
      <c r="E64" t="s">
        <v>119</v>
      </c>
      <c r="F64">
        <f t="shared" si="0"/>
        <v>0</v>
      </c>
      <c r="G64">
        <f t="shared" si="0"/>
        <v>1</v>
      </c>
    </row>
    <row r="65" spans="2:7" ht="48" x14ac:dyDescent="0.2">
      <c r="B65" s="3" t="s">
        <v>4134</v>
      </c>
      <c r="C65" t="s">
        <v>3952</v>
      </c>
      <c r="D65"/>
      <c r="F65">
        <f t="shared" si="0"/>
        <v>0</v>
      </c>
      <c r="G65">
        <f t="shared" si="0"/>
        <v>0</v>
      </c>
    </row>
    <row r="66" spans="2:7" ht="48" x14ac:dyDescent="0.2">
      <c r="B66" s="3" t="s">
        <v>4135</v>
      </c>
      <c r="C66" t="s">
        <v>42</v>
      </c>
      <c r="D66"/>
      <c r="F66">
        <f t="shared" si="0"/>
        <v>0</v>
      </c>
      <c r="G66">
        <f t="shared" si="0"/>
        <v>0</v>
      </c>
    </row>
    <row r="67" spans="2:7" ht="48" x14ac:dyDescent="0.2">
      <c r="B67" s="3" t="s">
        <v>4136</v>
      </c>
      <c r="C67" t="s">
        <v>11</v>
      </c>
      <c r="D67"/>
      <c r="F67">
        <f t="shared" ref="F67:G101" si="1">IF(D67="",0,1)</f>
        <v>0</v>
      </c>
      <c r="G67">
        <f t="shared" si="1"/>
        <v>0</v>
      </c>
    </row>
    <row r="68" spans="2:7" ht="48" x14ac:dyDescent="0.2">
      <c r="B68" s="3" t="s">
        <v>4137</v>
      </c>
      <c r="C68" t="s">
        <v>193</v>
      </c>
      <c r="D68"/>
      <c r="E68" t="s">
        <v>48</v>
      </c>
      <c r="F68">
        <f t="shared" si="1"/>
        <v>0</v>
      </c>
      <c r="G68">
        <f t="shared" si="1"/>
        <v>1</v>
      </c>
    </row>
    <row r="69" spans="2:7" ht="48" x14ac:dyDescent="0.2">
      <c r="B69" s="3" t="s">
        <v>4138</v>
      </c>
      <c r="C69" t="s">
        <v>6</v>
      </c>
      <c r="D69"/>
      <c r="F69">
        <f t="shared" si="1"/>
        <v>0</v>
      </c>
      <c r="G69">
        <f t="shared" si="1"/>
        <v>0</v>
      </c>
    </row>
    <row r="70" spans="2:7" ht="64" x14ac:dyDescent="0.2">
      <c r="B70" s="3" t="s">
        <v>4139</v>
      </c>
      <c r="C70" t="s">
        <v>11</v>
      </c>
      <c r="D70"/>
      <c r="F70">
        <f t="shared" si="1"/>
        <v>0</v>
      </c>
      <c r="G70">
        <f t="shared" si="1"/>
        <v>0</v>
      </c>
    </row>
    <row r="71" spans="2:7" ht="48" x14ac:dyDescent="0.2">
      <c r="B71" s="3" t="s">
        <v>4140</v>
      </c>
      <c r="C71" t="s">
        <v>150</v>
      </c>
      <c r="D71"/>
      <c r="F71">
        <f t="shared" si="1"/>
        <v>0</v>
      </c>
      <c r="G71">
        <f t="shared" si="1"/>
        <v>0</v>
      </c>
    </row>
    <row r="72" spans="2:7" ht="64" x14ac:dyDescent="0.2">
      <c r="B72" s="3" t="s">
        <v>4141</v>
      </c>
      <c r="C72" t="s">
        <v>30</v>
      </c>
      <c r="D72"/>
      <c r="F72">
        <f t="shared" si="1"/>
        <v>0</v>
      </c>
      <c r="G72">
        <f t="shared" si="1"/>
        <v>0</v>
      </c>
    </row>
    <row r="73" spans="2:7" ht="48" x14ac:dyDescent="0.2">
      <c r="B73" s="3" t="s">
        <v>4142</v>
      </c>
      <c r="C73" t="s">
        <v>232</v>
      </c>
      <c r="D73"/>
      <c r="F73">
        <f t="shared" si="1"/>
        <v>0</v>
      </c>
      <c r="G73">
        <f t="shared" si="1"/>
        <v>0</v>
      </c>
    </row>
    <row r="74" spans="2:7" ht="32" x14ac:dyDescent="0.2">
      <c r="B74" s="3" t="s">
        <v>4143</v>
      </c>
      <c r="C74" t="s">
        <v>66</v>
      </c>
      <c r="D74"/>
      <c r="F74">
        <f t="shared" si="1"/>
        <v>0</v>
      </c>
      <c r="G74">
        <f t="shared" si="1"/>
        <v>0</v>
      </c>
    </row>
    <row r="75" spans="2:7" ht="64" x14ac:dyDescent="0.2">
      <c r="B75" s="3" t="s">
        <v>4144</v>
      </c>
      <c r="C75" t="s">
        <v>84</v>
      </c>
      <c r="D75"/>
      <c r="F75">
        <f t="shared" si="1"/>
        <v>0</v>
      </c>
      <c r="G75">
        <f t="shared" si="1"/>
        <v>0</v>
      </c>
    </row>
    <row r="76" spans="2:7" ht="64" x14ac:dyDescent="0.2">
      <c r="B76" s="3" t="s">
        <v>4145</v>
      </c>
      <c r="C76" t="s">
        <v>20</v>
      </c>
      <c r="D76"/>
      <c r="F76">
        <f t="shared" si="1"/>
        <v>0</v>
      </c>
      <c r="G76">
        <f t="shared" si="1"/>
        <v>0</v>
      </c>
    </row>
    <row r="77" spans="2:7" ht="48" x14ac:dyDescent="0.2">
      <c r="B77" s="3" t="s">
        <v>4146</v>
      </c>
      <c r="C77" t="s">
        <v>122</v>
      </c>
      <c r="D77"/>
      <c r="E77" t="s">
        <v>118</v>
      </c>
      <c r="F77">
        <f t="shared" si="1"/>
        <v>0</v>
      </c>
      <c r="G77">
        <f t="shared" si="1"/>
        <v>1</v>
      </c>
    </row>
    <row r="78" spans="2:7" ht="64" x14ac:dyDescent="0.2">
      <c r="B78" s="3" t="s">
        <v>4147</v>
      </c>
      <c r="C78" t="s">
        <v>275</v>
      </c>
      <c r="D78"/>
      <c r="F78">
        <f t="shared" si="1"/>
        <v>0</v>
      </c>
      <c r="G78">
        <f t="shared" si="1"/>
        <v>0</v>
      </c>
    </row>
    <row r="79" spans="2:7" ht="32" x14ac:dyDescent="0.2">
      <c r="B79" s="3" t="s">
        <v>4148</v>
      </c>
      <c r="C79" t="s">
        <v>181</v>
      </c>
      <c r="D79"/>
      <c r="F79">
        <f t="shared" si="1"/>
        <v>0</v>
      </c>
      <c r="G79">
        <f t="shared" si="1"/>
        <v>0</v>
      </c>
    </row>
    <row r="80" spans="2:7" ht="48" x14ac:dyDescent="0.2">
      <c r="B80" s="3" t="s">
        <v>4149</v>
      </c>
      <c r="C80" t="s">
        <v>18</v>
      </c>
      <c r="D80"/>
      <c r="E80" t="s">
        <v>194</v>
      </c>
      <c r="F80">
        <f t="shared" si="1"/>
        <v>0</v>
      </c>
      <c r="G80">
        <f t="shared" si="1"/>
        <v>1</v>
      </c>
    </row>
    <row r="81" spans="2:7" ht="48" x14ac:dyDescent="0.2">
      <c r="B81" s="3" t="s">
        <v>4150</v>
      </c>
      <c r="C81" t="s">
        <v>130</v>
      </c>
      <c r="D81"/>
      <c r="F81">
        <f t="shared" si="1"/>
        <v>0</v>
      </c>
      <c r="G81">
        <f t="shared" si="1"/>
        <v>0</v>
      </c>
    </row>
    <row r="82" spans="2:7" ht="48" x14ac:dyDescent="0.2">
      <c r="B82" s="3" t="s">
        <v>4151</v>
      </c>
      <c r="C82" t="s">
        <v>4059</v>
      </c>
      <c r="D82"/>
      <c r="F82">
        <f t="shared" si="1"/>
        <v>0</v>
      </c>
      <c r="G82">
        <f t="shared" si="1"/>
        <v>0</v>
      </c>
    </row>
    <row r="83" spans="2:7" ht="48" x14ac:dyDescent="0.2">
      <c r="B83" s="3" t="s">
        <v>4152</v>
      </c>
      <c r="C83" t="s">
        <v>7</v>
      </c>
      <c r="D83"/>
      <c r="E83" t="s">
        <v>86</v>
      </c>
      <c r="F83">
        <f t="shared" si="1"/>
        <v>0</v>
      </c>
      <c r="G83">
        <f t="shared" si="1"/>
        <v>1</v>
      </c>
    </row>
    <row r="84" spans="2:7" ht="48" x14ac:dyDescent="0.2">
      <c r="B84" s="3" t="s">
        <v>4153</v>
      </c>
      <c r="C84" t="s">
        <v>4154</v>
      </c>
      <c r="D84"/>
      <c r="F84">
        <f t="shared" si="1"/>
        <v>0</v>
      </c>
      <c r="G84">
        <f t="shared" si="1"/>
        <v>0</v>
      </c>
    </row>
    <row r="85" spans="2:7" ht="64" x14ac:dyDescent="0.2">
      <c r="B85" s="3" t="s">
        <v>4155</v>
      </c>
      <c r="C85" t="s">
        <v>4156</v>
      </c>
      <c r="D85"/>
      <c r="F85">
        <f t="shared" si="1"/>
        <v>0</v>
      </c>
      <c r="G85">
        <f t="shared" si="1"/>
        <v>0</v>
      </c>
    </row>
    <row r="86" spans="2:7" ht="32" x14ac:dyDescent="0.2">
      <c r="B86" s="3" t="s">
        <v>4157</v>
      </c>
      <c r="C86" t="s">
        <v>78</v>
      </c>
      <c r="D86"/>
      <c r="F86">
        <f t="shared" si="1"/>
        <v>0</v>
      </c>
      <c r="G86">
        <f t="shared" si="1"/>
        <v>0</v>
      </c>
    </row>
    <row r="87" spans="2:7" ht="32" x14ac:dyDescent="0.2">
      <c r="B87" s="3" t="s">
        <v>4158</v>
      </c>
      <c r="C87" t="s">
        <v>181</v>
      </c>
      <c r="D87"/>
      <c r="F87">
        <f t="shared" si="1"/>
        <v>0</v>
      </c>
      <c r="G87">
        <f t="shared" si="1"/>
        <v>0</v>
      </c>
    </row>
    <row r="88" spans="2:7" ht="48" x14ac:dyDescent="0.2">
      <c r="B88" s="3" t="s">
        <v>4159</v>
      </c>
      <c r="C88" t="s">
        <v>17</v>
      </c>
      <c r="D88"/>
      <c r="F88">
        <f t="shared" si="1"/>
        <v>0</v>
      </c>
      <c r="G88">
        <f t="shared" si="1"/>
        <v>0</v>
      </c>
    </row>
    <row r="89" spans="2:7" ht="64" x14ac:dyDescent="0.2">
      <c r="B89" s="3" t="s">
        <v>4160</v>
      </c>
      <c r="C89" t="s">
        <v>11</v>
      </c>
      <c r="D89"/>
      <c r="F89">
        <f t="shared" si="1"/>
        <v>0</v>
      </c>
      <c r="G89">
        <f t="shared" si="1"/>
        <v>0</v>
      </c>
    </row>
    <row r="90" spans="2:7" ht="32" x14ac:dyDescent="0.2">
      <c r="B90" s="3" t="s">
        <v>4161</v>
      </c>
      <c r="C90" t="s">
        <v>2</v>
      </c>
      <c r="D90"/>
      <c r="F90">
        <f t="shared" si="1"/>
        <v>0</v>
      </c>
      <c r="G90">
        <f t="shared" si="1"/>
        <v>0</v>
      </c>
    </row>
    <row r="91" spans="2:7" ht="64" x14ac:dyDescent="0.2">
      <c r="B91" s="3" t="s">
        <v>4162</v>
      </c>
      <c r="C91" t="s">
        <v>204</v>
      </c>
      <c r="D91"/>
      <c r="F91">
        <f t="shared" si="1"/>
        <v>0</v>
      </c>
      <c r="G91">
        <f t="shared" si="1"/>
        <v>0</v>
      </c>
    </row>
    <row r="92" spans="2:7" ht="64" x14ac:dyDescent="0.2">
      <c r="B92" s="3" t="s">
        <v>4163</v>
      </c>
      <c r="C92" t="s">
        <v>247</v>
      </c>
      <c r="D92"/>
      <c r="F92">
        <f t="shared" si="1"/>
        <v>0</v>
      </c>
      <c r="G92">
        <f t="shared" si="1"/>
        <v>0</v>
      </c>
    </row>
    <row r="93" spans="2:7" ht="48" x14ac:dyDescent="0.2">
      <c r="B93" s="3" t="s">
        <v>4164</v>
      </c>
      <c r="C93" t="s">
        <v>3957</v>
      </c>
      <c r="D93"/>
      <c r="F93">
        <f t="shared" si="1"/>
        <v>0</v>
      </c>
      <c r="G93">
        <f t="shared" si="1"/>
        <v>0</v>
      </c>
    </row>
    <row r="94" spans="2:7" ht="64" x14ac:dyDescent="0.2">
      <c r="B94" s="3" t="s">
        <v>4165</v>
      </c>
      <c r="C94" t="s">
        <v>175</v>
      </c>
      <c r="D94"/>
      <c r="E94" t="s">
        <v>46</v>
      </c>
      <c r="F94">
        <f t="shared" si="1"/>
        <v>0</v>
      </c>
      <c r="G94">
        <f t="shared" si="1"/>
        <v>1</v>
      </c>
    </row>
    <row r="95" spans="2:7" ht="48" x14ac:dyDescent="0.2">
      <c r="B95" s="3" t="s">
        <v>4166</v>
      </c>
      <c r="C95" t="s">
        <v>4167</v>
      </c>
      <c r="D95" t="s">
        <v>3909</v>
      </c>
      <c r="F95">
        <f t="shared" si="1"/>
        <v>1</v>
      </c>
      <c r="G95">
        <f t="shared" si="1"/>
        <v>0</v>
      </c>
    </row>
    <row r="96" spans="2:7" ht="48" x14ac:dyDescent="0.2">
      <c r="B96" s="3" t="s">
        <v>4168</v>
      </c>
      <c r="C96" t="s">
        <v>67</v>
      </c>
      <c r="D96"/>
      <c r="F96">
        <f t="shared" si="1"/>
        <v>0</v>
      </c>
      <c r="G96">
        <f t="shared" si="1"/>
        <v>0</v>
      </c>
    </row>
    <row r="97" spans="2:7" ht="32" x14ac:dyDescent="0.2">
      <c r="B97" s="3" t="s">
        <v>4169</v>
      </c>
      <c r="C97" t="s">
        <v>97</v>
      </c>
      <c r="D97"/>
      <c r="F97">
        <f t="shared" si="1"/>
        <v>0</v>
      </c>
      <c r="G97">
        <f t="shared" si="1"/>
        <v>0</v>
      </c>
    </row>
    <row r="98" spans="2:7" ht="64" x14ac:dyDescent="0.2">
      <c r="B98" s="3" t="s">
        <v>4170</v>
      </c>
      <c r="C98" t="s">
        <v>4078</v>
      </c>
      <c r="D98"/>
      <c r="F98">
        <f t="shared" si="1"/>
        <v>0</v>
      </c>
      <c r="G98">
        <f t="shared" si="1"/>
        <v>0</v>
      </c>
    </row>
    <row r="99" spans="2:7" ht="64" x14ac:dyDescent="0.2">
      <c r="B99" s="3" t="s">
        <v>4171</v>
      </c>
      <c r="C99" t="s">
        <v>137</v>
      </c>
      <c r="D99"/>
      <c r="F99">
        <f t="shared" si="1"/>
        <v>0</v>
      </c>
      <c r="G99">
        <f t="shared" si="1"/>
        <v>0</v>
      </c>
    </row>
    <row r="100" spans="2:7" ht="48" x14ac:dyDescent="0.2">
      <c r="B100" s="3" t="s">
        <v>4172</v>
      </c>
      <c r="C100" t="s">
        <v>3462</v>
      </c>
      <c r="D100"/>
      <c r="F100">
        <f t="shared" si="1"/>
        <v>0</v>
      </c>
      <c r="G100">
        <f t="shared" si="1"/>
        <v>0</v>
      </c>
    </row>
    <row r="101" spans="2:7" ht="48" x14ac:dyDescent="0.2">
      <c r="B101" s="3" t="s">
        <v>4173</v>
      </c>
      <c r="C101" t="s">
        <v>3957</v>
      </c>
      <c r="D101"/>
      <c r="F101">
        <f t="shared" si="1"/>
        <v>0</v>
      </c>
      <c r="G101">
        <f t="shared" si="1"/>
        <v>0</v>
      </c>
    </row>
    <row r="103" spans="2:7" x14ac:dyDescent="0.2">
      <c r="F103" s="10">
        <f>SUM(F2:F101)</f>
        <v>3</v>
      </c>
      <c r="G103" s="10">
        <f>SUM(G2:G101)</f>
        <v>11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A7EB6-8656-5C45-B633-0276F0163A9A}">
  <dimension ref="A1:G103"/>
  <sheetViews>
    <sheetView topLeftCell="A91" zoomScale="150" zoomScaleNormal="150" workbookViewId="0">
      <selection activeCell="D103" sqref="D103"/>
    </sheetView>
  </sheetViews>
  <sheetFormatPr baseColWidth="10" defaultRowHeight="15" x14ac:dyDescent="0.2"/>
  <cols>
    <col min="1" max="1" width="9.5" style="3" customWidth="1"/>
    <col min="2" max="2" width="56.1640625" style="7" customWidth="1"/>
    <col min="4" max="4" width="15.1640625" style="9" customWidth="1"/>
    <col min="5" max="5" width="13.33203125" customWidth="1"/>
  </cols>
  <sheetData>
    <row r="1" spans="1:7" ht="16" x14ac:dyDescent="0.2">
      <c r="A1" s="2" t="s">
        <v>0</v>
      </c>
      <c r="B1" s="2" t="s">
        <v>0</v>
      </c>
      <c r="C1" s="1" t="s">
        <v>1</v>
      </c>
      <c r="D1" s="8" t="s">
        <v>44</v>
      </c>
      <c r="E1" s="1" t="s">
        <v>45</v>
      </c>
      <c r="F1" s="1" t="s">
        <v>44</v>
      </c>
      <c r="G1" s="1" t="s">
        <v>45</v>
      </c>
    </row>
    <row r="2" spans="1:7" ht="42" customHeight="1" x14ac:dyDescent="0.2">
      <c r="B2" s="3" t="s">
        <v>4175</v>
      </c>
      <c r="C2" t="s">
        <v>150</v>
      </c>
      <c r="D2"/>
      <c r="E2" t="s">
        <v>48</v>
      </c>
      <c r="F2">
        <f>IF(D2="",0,1)</f>
        <v>0</v>
      </c>
      <c r="G2">
        <f>IF(E2="",0,1)</f>
        <v>1</v>
      </c>
    </row>
    <row r="3" spans="1:7" ht="32" x14ac:dyDescent="0.2">
      <c r="B3" s="3" t="s">
        <v>4176</v>
      </c>
      <c r="C3" t="s">
        <v>131</v>
      </c>
      <c r="D3"/>
      <c r="E3" t="s">
        <v>789</v>
      </c>
      <c r="F3">
        <f t="shared" ref="F3:G66" si="0">IF(D3="",0,1)</f>
        <v>0</v>
      </c>
      <c r="G3">
        <f t="shared" si="0"/>
        <v>1</v>
      </c>
    </row>
    <row r="4" spans="1:7" ht="16" x14ac:dyDescent="0.2">
      <c r="B4" s="3" t="s">
        <v>4177</v>
      </c>
      <c r="C4" t="s">
        <v>93</v>
      </c>
      <c r="D4"/>
      <c r="F4">
        <f t="shared" si="0"/>
        <v>0</v>
      </c>
      <c r="G4">
        <f t="shared" si="0"/>
        <v>0</v>
      </c>
    </row>
    <row r="5" spans="1:7" ht="32" x14ac:dyDescent="0.2">
      <c r="B5" s="3" t="s">
        <v>4178</v>
      </c>
      <c r="C5" t="s">
        <v>4179</v>
      </c>
      <c r="D5"/>
      <c r="F5">
        <f t="shared" si="0"/>
        <v>0</v>
      </c>
      <c r="G5">
        <f t="shared" si="0"/>
        <v>0</v>
      </c>
    </row>
    <row r="6" spans="1:7" ht="48" x14ac:dyDescent="0.2">
      <c r="B6" s="3" t="s">
        <v>4180</v>
      </c>
      <c r="C6" t="s">
        <v>4181</v>
      </c>
      <c r="D6"/>
      <c r="F6">
        <f t="shared" si="0"/>
        <v>0</v>
      </c>
      <c r="G6">
        <f t="shared" si="0"/>
        <v>0</v>
      </c>
    </row>
    <row r="7" spans="1:7" ht="48" x14ac:dyDescent="0.2">
      <c r="B7" s="3" t="s">
        <v>4182</v>
      </c>
      <c r="C7" t="s">
        <v>132</v>
      </c>
      <c r="D7"/>
      <c r="F7">
        <f t="shared" si="0"/>
        <v>0</v>
      </c>
      <c r="G7">
        <f t="shared" si="0"/>
        <v>0</v>
      </c>
    </row>
    <row r="8" spans="1:7" ht="48" x14ac:dyDescent="0.2">
      <c r="B8" s="3" t="s">
        <v>4183</v>
      </c>
      <c r="C8" t="s">
        <v>4184</v>
      </c>
      <c r="D8"/>
      <c r="F8">
        <f t="shared" si="0"/>
        <v>0</v>
      </c>
      <c r="G8">
        <f t="shared" si="0"/>
        <v>0</v>
      </c>
    </row>
    <row r="9" spans="1:7" ht="48" x14ac:dyDescent="0.2">
      <c r="B9" s="3" t="s">
        <v>4185</v>
      </c>
      <c r="C9" t="s">
        <v>3159</v>
      </c>
      <c r="D9"/>
      <c r="F9">
        <f t="shared" si="0"/>
        <v>0</v>
      </c>
      <c r="G9">
        <f t="shared" si="0"/>
        <v>0</v>
      </c>
    </row>
    <row r="10" spans="1:7" ht="48" x14ac:dyDescent="0.2">
      <c r="B10" s="3" t="s">
        <v>4186</v>
      </c>
      <c r="C10" t="s">
        <v>4187</v>
      </c>
      <c r="D10"/>
      <c r="F10">
        <f t="shared" si="0"/>
        <v>0</v>
      </c>
      <c r="G10">
        <f t="shared" si="0"/>
        <v>0</v>
      </c>
    </row>
    <row r="11" spans="1:7" ht="16" x14ac:dyDescent="0.2">
      <c r="B11" s="3" t="s">
        <v>4188</v>
      </c>
      <c r="C11" t="s">
        <v>109</v>
      </c>
      <c r="D11"/>
      <c r="F11">
        <f t="shared" si="0"/>
        <v>0</v>
      </c>
      <c r="G11">
        <f t="shared" si="0"/>
        <v>0</v>
      </c>
    </row>
    <row r="12" spans="1:7" ht="32" x14ac:dyDescent="0.2">
      <c r="B12" s="3" t="s">
        <v>4189</v>
      </c>
      <c r="C12" t="s">
        <v>2336</v>
      </c>
      <c r="D12"/>
      <c r="F12">
        <f t="shared" si="0"/>
        <v>0</v>
      </c>
      <c r="G12">
        <f t="shared" si="0"/>
        <v>0</v>
      </c>
    </row>
    <row r="13" spans="1:7" ht="64" x14ac:dyDescent="0.2">
      <c r="B13" s="3" t="s">
        <v>4190</v>
      </c>
      <c r="C13" t="s">
        <v>4191</v>
      </c>
      <c r="D13"/>
      <c r="F13">
        <f t="shared" si="0"/>
        <v>0</v>
      </c>
      <c r="G13">
        <f t="shared" si="0"/>
        <v>0</v>
      </c>
    </row>
    <row r="14" spans="1:7" ht="48" x14ac:dyDescent="0.2">
      <c r="B14" s="3" t="s">
        <v>4192</v>
      </c>
      <c r="C14" t="s">
        <v>236</v>
      </c>
      <c r="D14"/>
      <c r="F14">
        <f t="shared" si="0"/>
        <v>0</v>
      </c>
      <c r="G14">
        <f t="shared" si="0"/>
        <v>0</v>
      </c>
    </row>
    <row r="15" spans="1:7" ht="32" x14ac:dyDescent="0.2">
      <c r="B15" s="3" t="s">
        <v>4193</v>
      </c>
      <c r="C15" t="s">
        <v>30</v>
      </c>
      <c r="D15"/>
      <c r="F15">
        <f t="shared" si="0"/>
        <v>0</v>
      </c>
      <c r="G15">
        <f t="shared" si="0"/>
        <v>0</v>
      </c>
    </row>
    <row r="16" spans="1:7" ht="32" x14ac:dyDescent="0.2">
      <c r="B16" s="3" t="s">
        <v>4194</v>
      </c>
      <c r="C16" t="s">
        <v>4195</v>
      </c>
      <c r="D16"/>
      <c r="F16">
        <f t="shared" si="0"/>
        <v>0</v>
      </c>
      <c r="G16">
        <f t="shared" si="0"/>
        <v>0</v>
      </c>
    </row>
    <row r="17" spans="2:7" ht="32" x14ac:dyDescent="0.2">
      <c r="B17" s="3" t="s">
        <v>4196</v>
      </c>
      <c r="C17" t="s">
        <v>4197</v>
      </c>
      <c r="D17"/>
      <c r="F17">
        <f t="shared" si="0"/>
        <v>0</v>
      </c>
      <c r="G17">
        <f t="shared" si="0"/>
        <v>0</v>
      </c>
    </row>
    <row r="18" spans="2:7" ht="16" x14ac:dyDescent="0.2">
      <c r="B18" s="3" t="s">
        <v>4198</v>
      </c>
      <c r="C18" t="s">
        <v>122</v>
      </c>
      <c r="D18"/>
      <c r="F18">
        <f t="shared" si="0"/>
        <v>0</v>
      </c>
      <c r="G18">
        <f t="shared" si="0"/>
        <v>0</v>
      </c>
    </row>
    <row r="19" spans="2:7" ht="48" x14ac:dyDescent="0.2">
      <c r="B19" s="3" t="s">
        <v>4199</v>
      </c>
      <c r="C19" t="s">
        <v>124</v>
      </c>
      <c r="D19"/>
      <c r="F19">
        <f t="shared" si="0"/>
        <v>0</v>
      </c>
      <c r="G19">
        <f t="shared" si="0"/>
        <v>0</v>
      </c>
    </row>
    <row r="20" spans="2:7" ht="48" x14ac:dyDescent="0.2">
      <c r="B20" s="3" t="s">
        <v>4200</v>
      </c>
      <c r="C20" t="s">
        <v>3159</v>
      </c>
      <c r="D20"/>
      <c r="F20">
        <f t="shared" si="0"/>
        <v>0</v>
      </c>
      <c r="G20">
        <f t="shared" si="0"/>
        <v>0</v>
      </c>
    </row>
    <row r="21" spans="2:7" ht="32" x14ac:dyDescent="0.2">
      <c r="B21" s="3" t="s">
        <v>4201</v>
      </c>
      <c r="C21" t="s">
        <v>14</v>
      </c>
      <c r="D21"/>
      <c r="F21">
        <f t="shared" si="0"/>
        <v>0</v>
      </c>
      <c r="G21">
        <f t="shared" si="0"/>
        <v>0</v>
      </c>
    </row>
    <row r="22" spans="2:7" ht="48" x14ac:dyDescent="0.2">
      <c r="B22" s="3" t="s">
        <v>4202</v>
      </c>
      <c r="C22" t="s">
        <v>4203</v>
      </c>
      <c r="D22"/>
      <c r="F22">
        <f t="shared" si="0"/>
        <v>0</v>
      </c>
      <c r="G22">
        <f t="shared" si="0"/>
        <v>0</v>
      </c>
    </row>
    <row r="23" spans="2:7" ht="48" x14ac:dyDescent="0.2">
      <c r="B23" s="3" t="s">
        <v>4204</v>
      </c>
      <c r="C23" t="s">
        <v>135</v>
      </c>
      <c r="D23"/>
      <c r="F23">
        <f t="shared" si="0"/>
        <v>0</v>
      </c>
      <c r="G23">
        <f t="shared" si="0"/>
        <v>0</v>
      </c>
    </row>
    <row r="24" spans="2:7" ht="16" x14ac:dyDescent="0.2">
      <c r="B24" s="3" t="s">
        <v>4205</v>
      </c>
      <c r="C24" t="s">
        <v>84</v>
      </c>
      <c r="D24"/>
      <c r="F24">
        <f t="shared" si="0"/>
        <v>0</v>
      </c>
      <c r="G24">
        <f t="shared" si="0"/>
        <v>0</v>
      </c>
    </row>
    <row r="25" spans="2:7" ht="32" x14ac:dyDescent="0.2">
      <c r="B25" s="3" t="s">
        <v>4206</v>
      </c>
      <c r="C25" t="s">
        <v>15</v>
      </c>
      <c r="D25"/>
      <c r="F25">
        <f t="shared" si="0"/>
        <v>0</v>
      </c>
      <c r="G25">
        <f t="shared" si="0"/>
        <v>0</v>
      </c>
    </row>
    <row r="26" spans="2:7" ht="16" x14ac:dyDescent="0.2">
      <c r="B26" s="3" t="s">
        <v>4207</v>
      </c>
      <c r="C26" t="s">
        <v>70</v>
      </c>
      <c r="D26"/>
      <c r="F26">
        <f t="shared" si="0"/>
        <v>0</v>
      </c>
      <c r="G26">
        <f t="shared" si="0"/>
        <v>0</v>
      </c>
    </row>
    <row r="27" spans="2:7" ht="16" x14ac:dyDescent="0.2">
      <c r="B27" s="3" t="s">
        <v>4208</v>
      </c>
      <c r="C27" t="s">
        <v>238</v>
      </c>
      <c r="D27"/>
      <c r="F27">
        <f t="shared" si="0"/>
        <v>0</v>
      </c>
      <c r="G27">
        <f t="shared" si="0"/>
        <v>0</v>
      </c>
    </row>
    <row r="28" spans="2:7" ht="48" x14ac:dyDescent="0.2">
      <c r="B28" s="3" t="s">
        <v>4209</v>
      </c>
      <c r="C28" t="s">
        <v>4210</v>
      </c>
      <c r="D28"/>
      <c r="F28">
        <f t="shared" si="0"/>
        <v>0</v>
      </c>
      <c r="G28">
        <f t="shared" si="0"/>
        <v>0</v>
      </c>
    </row>
    <row r="29" spans="2:7" ht="32" x14ac:dyDescent="0.2">
      <c r="B29" s="3" t="s">
        <v>4211</v>
      </c>
      <c r="C29" t="s">
        <v>273</v>
      </c>
      <c r="D29"/>
      <c r="E29" t="s">
        <v>46</v>
      </c>
      <c r="F29">
        <f t="shared" si="0"/>
        <v>0</v>
      </c>
      <c r="G29">
        <f t="shared" si="0"/>
        <v>1</v>
      </c>
    </row>
    <row r="30" spans="2:7" ht="48" x14ac:dyDescent="0.2">
      <c r="B30" s="3" t="s">
        <v>4212</v>
      </c>
      <c r="C30" t="s">
        <v>84</v>
      </c>
      <c r="D30"/>
      <c r="E30" t="s">
        <v>48</v>
      </c>
      <c r="F30">
        <f t="shared" si="0"/>
        <v>0</v>
      </c>
      <c r="G30">
        <f t="shared" si="0"/>
        <v>1</v>
      </c>
    </row>
    <row r="31" spans="2:7" ht="48" x14ac:dyDescent="0.2">
      <c r="B31" s="3" t="s">
        <v>4213</v>
      </c>
      <c r="C31" t="s">
        <v>145</v>
      </c>
      <c r="D31"/>
      <c r="F31">
        <f t="shared" si="0"/>
        <v>0</v>
      </c>
      <c r="G31">
        <f t="shared" si="0"/>
        <v>0</v>
      </c>
    </row>
    <row r="32" spans="2:7" ht="48" x14ac:dyDescent="0.2">
      <c r="B32" s="3" t="s">
        <v>4214</v>
      </c>
      <c r="C32" t="s">
        <v>437</v>
      </c>
      <c r="D32"/>
      <c r="F32">
        <f t="shared" si="0"/>
        <v>0</v>
      </c>
      <c r="G32">
        <f t="shared" si="0"/>
        <v>0</v>
      </c>
    </row>
    <row r="33" spans="2:7" ht="32" x14ac:dyDescent="0.2">
      <c r="B33" s="3" t="s">
        <v>4215</v>
      </c>
      <c r="C33" t="s">
        <v>14</v>
      </c>
      <c r="D33"/>
      <c r="F33">
        <f t="shared" si="0"/>
        <v>0</v>
      </c>
      <c r="G33">
        <f t="shared" si="0"/>
        <v>0</v>
      </c>
    </row>
    <row r="34" spans="2:7" ht="44" customHeight="1" x14ac:dyDescent="0.2">
      <c r="B34" s="3" t="s">
        <v>4216</v>
      </c>
      <c r="C34" t="s">
        <v>4217</v>
      </c>
      <c r="D34"/>
      <c r="F34">
        <f t="shared" si="0"/>
        <v>0</v>
      </c>
      <c r="G34">
        <f t="shared" si="0"/>
        <v>0</v>
      </c>
    </row>
    <row r="35" spans="2:7" ht="48" x14ac:dyDescent="0.2">
      <c r="B35" s="3" t="s">
        <v>4218</v>
      </c>
      <c r="C35" t="s">
        <v>3659</v>
      </c>
      <c r="D35"/>
      <c r="F35">
        <f t="shared" si="0"/>
        <v>0</v>
      </c>
      <c r="G35">
        <f t="shared" si="0"/>
        <v>0</v>
      </c>
    </row>
    <row r="36" spans="2:7" ht="48" x14ac:dyDescent="0.2">
      <c r="B36" s="3" t="s">
        <v>4219</v>
      </c>
      <c r="C36" t="s">
        <v>4220</v>
      </c>
      <c r="D36"/>
      <c r="F36">
        <f t="shared" si="0"/>
        <v>0</v>
      </c>
      <c r="G36">
        <f t="shared" si="0"/>
        <v>0</v>
      </c>
    </row>
    <row r="37" spans="2:7" ht="32" x14ac:dyDescent="0.2">
      <c r="B37" s="3" t="s">
        <v>4221</v>
      </c>
      <c r="C37" t="s">
        <v>24</v>
      </c>
      <c r="D37"/>
      <c r="F37">
        <f t="shared" si="0"/>
        <v>0</v>
      </c>
      <c r="G37">
        <f t="shared" si="0"/>
        <v>0</v>
      </c>
    </row>
    <row r="38" spans="2:7" ht="16" x14ac:dyDescent="0.2">
      <c r="B38" s="3" t="s">
        <v>4222</v>
      </c>
      <c r="C38" t="s">
        <v>66</v>
      </c>
      <c r="D38"/>
      <c r="F38">
        <f t="shared" si="0"/>
        <v>0</v>
      </c>
      <c r="G38">
        <f t="shared" si="0"/>
        <v>0</v>
      </c>
    </row>
    <row r="39" spans="2:7" ht="48" x14ac:dyDescent="0.2">
      <c r="B39" s="3" t="s">
        <v>4223</v>
      </c>
      <c r="C39" t="s">
        <v>3815</v>
      </c>
      <c r="D39"/>
      <c r="F39">
        <f t="shared" si="0"/>
        <v>0</v>
      </c>
      <c r="G39">
        <f t="shared" si="0"/>
        <v>0</v>
      </c>
    </row>
    <row r="40" spans="2:7" ht="48" x14ac:dyDescent="0.2">
      <c r="B40" s="3" t="s">
        <v>4224</v>
      </c>
      <c r="C40" t="s">
        <v>123</v>
      </c>
      <c r="D40"/>
      <c r="F40">
        <f t="shared" si="0"/>
        <v>0</v>
      </c>
      <c r="G40">
        <f t="shared" si="0"/>
        <v>0</v>
      </c>
    </row>
    <row r="41" spans="2:7" ht="48" x14ac:dyDescent="0.2">
      <c r="B41" s="3" t="s">
        <v>4225</v>
      </c>
      <c r="C41" t="s">
        <v>68</v>
      </c>
      <c r="D41"/>
      <c r="F41">
        <f t="shared" si="0"/>
        <v>0</v>
      </c>
      <c r="G41">
        <f t="shared" si="0"/>
        <v>0</v>
      </c>
    </row>
    <row r="42" spans="2:7" ht="16" x14ac:dyDescent="0.2">
      <c r="B42" s="3" t="s">
        <v>4226</v>
      </c>
      <c r="C42" t="s">
        <v>30</v>
      </c>
      <c r="D42"/>
      <c r="F42">
        <f t="shared" si="0"/>
        <v>0</v>
      </c>
      <c r="G42">
        <f t="shared" si="0"/>
        <v>0</v>
      </c>
    </row>
    <row r="43" spans="2:7" ht="48" x14ac:dyDescent="0.2">
      <c r="B43" s="3" t="s">
        <v>4227</v>
      </c>
      <c r="C43" t="s">
        <v>30</v>
      </c>
      <c r="D43"/>
      <c r="F43">
        <f t="shared" si="0"/>
        <v>0</v>
      </c>
      <c r="G43">
        <f t="shared" si="0"/>
        <v>0</v>
      </c>
    </row>
    <row r="44" spans="2:7" ht="48" x14ac:dyDescent="0.2">
      <c r="B44" s="3" t="s">
        <v>4228</v>
      </c>
      <c r="C44" t="s">
        <v>10</v>
      </c>
      <c r="D44"/>
      <c r="F44">
        <f t="shared" si="0"/>
        <v>0</v>
      </c>
      <c r="G44">
        <f t="shared" si="0"/>
        <v>0</v>
      </c>
    </row>
    <row r="45" spans="2:7" ht="16" x14ac:dyDescent="0.2">
      <c r="B45" s="3" t="s">
        <v>4229</v>
      </c>
      <c r="C45" t="s">
        <v>2684</v>
      </c>
      <c r="D45"/>
      <c r="F45">
        <f t="shared" si="0"/>
        <v>0</v>
      </c>
      <c r="G45">
        <f t="shared" si="0"/>
        <v>0</v>
      </c>
    </row>
    <row r="46" spans="2:7" ht="32" x14ac:dyDescent="0.2">
      <c r="B46" s="3" t="s">
        <v>4230</v>
      </c>
      <c r="C46" t="s">
        <v>30</v>
      </c>
      <c r="D46"/>
      <c r="F46">
        <f t="shared" si="0"/>
        <v>0</v>
      </c>
      <c r="G46">
        <f t="shared" si="0"/>
        <v>0</v>
      </c>
    </row>
    <row r="47" spans="2:7" ht="16" x14ac:dyDescent="0.2">
      <c r="B47" s="3" t="s">
        <v>4231</v>
      </c>
      <c r="C47" t="s">
        <v>187</v>
      </c>
      <c r="D47"/>
      <c r="F47">
        <f t="shared" si="0"/>
        <v>0</v>
      </c>
      <c r="G47">
        <f t="shared" si="0"/>
        <v>0</v>
      </c>
    </row>
    <row r="48" spans="2:7" ht="48" x14ac:dyDescent="0.2">
      <c r="B48" s="3" t="s">
        <v>4232</v>
      </c>
      <c r="C48" t="s">
        <v>132</v>
      </c>
      <c r="D48"/>
      <c r="F48">
        <f t="shared" si="0"/>
        <v>0</v>
      </c>
      <c r="G48">
        <f t="shared" si="0"/>
        <v>0</v>
      </c>
    </row>
    <row r="49" spans="2:7" ht="48" x14ac:dyDescent="0.2">
      <c r="B49" s="3" t="s">
        <v>4233</v>
      </c>
      <c r="C49" t="s">
        <v>4234</v>
      </c>
      <c r="D49"/>
      <c r="F49">
        <f t="shared" si="0"/>
        <v>0</v>
      </c>
      <c r="G49">
        <f t="shared" si="0"/>
        <v>0</v>
      </c>
    </row>
    <row r="50" spans="2:7" ht="32" x14ac:dyDescent="0.2">
      <c r="B50" s="3" t="s">
        <v>4235</v>
      </c>
      <c r="C50" t="s">
        <v>42</v>
      </c>
      <c r="D50"/>
      <c r="F50">
        <f t="shared" si="0"/>
        <v>0</v>
      </c>
      <c r="G50">
        <f t="shared" si="0"/>
        <v>0</v>
      </c>
    </row>
    <row r="51" spans="2:7" ht="48" x14ac:dyDescent="0.2">
      <c r="B51" s="3" t="s">
        <v>4236</v>
      </c>
      <c r="C51" t="s">
        <v>135</v>
      </c>
      <c r="D51"/>
      <c r="F51">
        <f t="shared" si="0"/>
        <v>0</v>
      </c>
      <c r="G51">
        <f t="shared" si="0"/>
        <v>0</v>
      </c>
    </row>
    <row r="52" spans="2:7" ht="48" x14ac:dyDescent="0.2">
      <c r="B52" s="3" t="s">
        <v>4237</v>
      </c>
      <c r="C52" t="s">
        <v>71</v>
      </c>
      <c r="D52"/>
      <c r="F52">
        <f t="shared" si="0"/>
        <v>0</v>
      </c>
      <c r="G52">
        <f t="shared" si="0"/>
        <v>0</v>
      </c>
    </row>
    <row r="53" spans="2:7" ht="16" x14ac:dyDescent="0.2">
      <c r="B53" s="3" t="s">
        <v>4238</v>
      </c>
      <c r="C53" t="s">
        <v>4239</v>
      </c>
      <c r="D53"/>
      <c r="F53">
        <f t="shared" si="0"/>
        <v>0</v>
      </c>
      <c r="G53">
        <f t="shared" si="0"/>
        <v>0</v>
      </c>
    </row>
    <row r="54" spans="2:7" ht="48" x14ac:dyDescent="0.2">
      <c r="B54" s="3" t="s">
        <v>4240</v>
      </c>
      <c r="C54" t="s">
        <v>30</v>
      </c>
      <c r="D54"/>
      <c r="F54">
        <f t="shared" si="0"/>
        <v>0</v>
      </c>
      <c r="G54">
        <f t="shared" si="0"/>
        <v>0</v>
      </c>
    </row>
    <row r="55" spans="2:7" ht="48" x14ac:dyDescent="0.2">
      <c r="B55" s="3" t="s">
        <v>4241</v>
      </c>
      <c r="C55" t="s">
        <v>3160</v>
      </c>
      <c r="D55"/>
      <c r="F55">
        <f t="shared" si="0"/>
        <v>0</v>
      </c>
      <c r="G55">
        <f t="shared" si="0"/>
        <v>0</v>
      </c>
    </row>
    <row r="56" spans="2:7" ht="48" x14ac:dyDescent="0.2">
      <c r="B56" s="3" t="s">
        <v>4242</v>
      </c>
      <c r="C56" t="s">
        <v>122</v>
      </c>
      <c r="D56"/>
      <c r="E56" t="s">
        <v>85</v>
      </c>
      <c r="F56">
        <f t="shared" si="0"/>
        <v>0</v>
      </c>
      <c r="G56">
        <f t="shared" si="0"/>
        <v>1</v>
      </c>
    </row>
    <row r="57" spans="2:7" ht="48" x14ac:dyDescent="0.2">
      <c r="B57" s="3" t="s">
        <v>4243</v>
      </c>
      <c r="C57" t="s">
        <v>122</v>
      </c>
      <c r="D57"/>
      <c r="F57">
        <f t="shared" si="0"/>
        <v>0</v>
      </c>
      <c r="G57">
        <f t="shared" si="0"/>
        <v>0</v>
      </c>
    </row>
    <row r="58" spans="2:7" ht="48" x14ac:dyDescent="0.2">
      <c r="B58" s="3" t="s">
        <v>4244</v>
      </c>
      <c r="C58" t="s">
        <v>68</v>
      </c>
      <c r="D58"/>
      <c r="F58">
        <f t="shared" si="0"/>
        <v>0</v>
      </c>
      <c r="G58">
        <f t="shared" si="0"/>
        <v>0</v>
      </c>
    </row>
    <row r="59" spans="2:7" ht="48" x14ac:dyDescent="0.2">
      <c r="B59" s="3" t="s">
        <v>4245</v>
      </c>
      <c r="C59" t="s">
        <v>114</v>
      </c>
      <c r="D59"/>
      <c r="F59">
        <f t="shared" si="0"/>
        <v>0</v>
      </c>
      <c r="G59">
        <f t="shared" si="0"/>
        <v>0</v>
      </c>
    </row>
    <row r="60" spans="2:7" ht="32" x14ac:dyDescent="0.2">
      <c r="B60" s="3" t="s">
        <v>4246</v>
      </c>
      <c r="C60" t="s">
        <v>4247</v>
      </c>
      <c r="D60"/>
      <c r="F60">
        <f t="shared" si="0"/>
        <v>0</v>
      </c>
      <c r="G60">
        <f t="shared" si="0"/>
        <v>0</v>
      </c>
    </row>
    <row r="61" spans="2:7" ht="16" x14ac:dyDescent="0.2">
      <c r="B61" s="3" t="s">
        <v>4248</v>
      </c>
      <c r="C61" t="s">
        <v>125</v>
      </c>
      <c r="D61"/>
      <c r="F61">
        <f t="shared" si="0"/>
        <v>0</v>
      </c>
      <c r="G61">
        <f t="shared" si="0"/>
        <v>0</v>
      </c>
    </row>
    <row r="62" spans="2:7" ht="48" x14ac:dyDescent="0.2">
      <c r="B62" s="3" t="s">
        <v>4249</v>
      </c>
      <c r="C62" t="s">
        <v>4250</v>
      </c>
      <c r="D62"/>
      <c r="F62">
        <f t="shared" si="0"/>
        <v>0</v>
      </c>
      <c r="G62">
        <f t="shared" si="0"/>
        <v>0</v>
      </c>
    </row>
    <row r="63" spans="2:7" ht="48" x14ac:dyDescent="0.2">
      <c r="B63" s="3" t="s">
        <v>4251</v>
      </c>
      <c r="C63" t="s">
        <v>20</v>
      </c>
      <c r="D63"/>
      <c r="F63">
        <f t="shared" si="0"/>
        <v>0</v>
      </c>
      <c r="G63">
        <f t="shared" si="0"/>
        <v>0</v>
      </c>
    </row>
    <row r="64" spans="2:7" ht="48" x14ac:dyDescent="0.2">
      <c r="B64" s="3" t="s">
        <v>4252</v>
      </c>
      <c r="C64" t="s">
        <v>5</v>
      </c>
      <c r="D64"/>
      <c r="F64">
        <f t="shared" si="0"/>
        <v>0</v>
      </c>
      <c r="G64">
        <f t="shared" si="0"/>
        <v>0</v>
      </c>
    </row>
    <row r="65" spans="2:7" ht="48" x14ac:dyDescent="0.2">
      <c r="B65" s="3" t="s">
        <v>4253</v>
      </c>
      <c r="C65" t="s">
        <v>4254</v>
      </c>
      <c r="D65"/>
      <c r="F65">
        <f t="shared" si="0"/>
        <v>0</v>
      </c>
      <c r="G65">
        <f t="shared" si="0"/>
        <v>0</v>
      </c>
    </row>
    <row r="66" spans="2:7" ht="16" x14ac:dyDescent="0.2">
      <c r="B66" s="3" t="s">
        <v>4255</v>
      </c>
      <c r="C66" t="s">
        <v>42</v>
      </c>
      <c r="D66"/>
      <c r="F66">
        <f t="shared" si="0"/>
        <v>0</v>
      </c>
      <c r="G66">
        <f t="shared" si="0"/>
        <v>0</v>
      </c>
    </row>
    <row r="67" spans="2:7" ht="16" x14ac:dyDescent="0.2">
      <c r="B67" s="3" t="s">
        <v>4256</v>
      </c>
      <c r="C67" t="s">
        <v>42</v>
      </c>
      <c r="D67"/>
      <c r="F67">
        <f t="shared" ref="F67:G101" si="1">IF(D67="",0,1)</f>
        <v>0</v>
      </c>
      <c r="G67">
        <f t="shared" si="1"/>
        <v>0</v>
      </c>
    </row>
    <row r="68" spans="2:7" ht="48" x14ac:dyDescent="0.2">
      <c r="B68" s="3" t="s">
        <v>4257</v>
      </c>
      <c r="C68" t="s">
        <v>4258</v>
      </c>
      <c r="D68"/>
      <c r="F68">
        <f t="shared" si="1"/>
        <v>0</v>
      </c>
      <c r="G68">
        <f t="shared" si="1"/>
        <v>0</v>
      </c>
    </row>
    <row r="69" spans="2:7" ht="32" x14ac:dyDescent="0.2">
      <c r="B69" s="3" t="s">
        <v>4259</v>
      </c>
      <c r="C69" t="s">
        <v>122</v>
      </c>
      <c r="D69"/>
      <c r="F69">
        <f t="shared" si="1"/>
        <v>0</v>
      </c>
      <c r="G69">
        <f t="shared" si="1"/>
        <v>0</v>
      </c>
    </row>
    <row r="70" spans="2:7" ht="48" x14ac:dyDescent="0.2">
      <c r="B70" s="3" t="s">
        <v>4260</v>
      </c>
      <c r="C70" t="s">
        <v>71</v>
      </c>
      <c r="D70"/>
      <c r="F70">
        <f t="shared" si="1"/>
        <v>0</v>
      </c>
      <c r="G70">
        <f t="shared" si="1"/>
        <v>0</v>
      </c>
    </row>
    <row r="71" spans="2:7" ht="32" x14ac:dyDescent="0.2">
      <c r="B71" s="3" t="s">
        <v>4261</v>
      </c>
      <c r="C71" t="s">
        <v>5</v>
      </c>
      <c r="D71"/>
      <c r="F71">
        <f t="shared" si="1"/>
        <v>0</v>
      </c>
      <c r="G71">
        <f t="shared" si="1"/>
        <v>0</v>
      </c>
    </row>
    <row r="72" spans="2:7" ht="32" x14ac:dyDescent="0.2">
      <c r="B72" s="3" t="s">
        <v>4262</v>
      </c>
      <c r="C72" t="s">
        <v>4263</v>
      </c>
      <c r="D72"/>
      <c r="F72">
        <f t="shared" si="1"/>
        <v>0</v>
      </c>
      <c r="G72">
        <f t="shared" si="1"/>
        <v>0</v>
      </c>
    </row>
    <row r="73" spans="2:7" ht="32" x14ac:dyDescent="0.2">
      <c r="B73" s="3" t="s">
        <v>4264</v>
      </c>
      <c r="C73" t="s">
        <v>10</v>
      </c>
      <c r="D73"/>
      <c r="F73">
        <f t="shared" si="1"/>
        <v>0</v>
      </c>
      <c r="G73">
        <f t="shared" si="1"/>
        <v>0</v>
      </c>
    </row>
    <row r="74" spans="2:7" ht="32" x14ac:dyDescent="0.2">
      <c r="B74" s="3" t="s">
        <v>4265</v>
      </c>
      <c r="C74" t="s">
        <v>4266</v>
      </c>
      <c r="D74"/>
      <c r="F74">
        <f t="shared" si="1"/>
        <v>0</v>
      </c>
      <c r="G74">
        <f t="shared" si="1"/>
        <v>0</v>
      </c>
    </row>
    <row r="75" spans="2:7" ht="48" x14ac:dyDescent="0.2">
      <c r="B75" s="3" t="s">
        <v>4267</v>
      </c>
      <c r="C75" t="s">
        <v>3340</v>
      </c>
      <c r="D75"/>
      <c r="F75">
        <f t="shared" si="1"/>
        <v>0</v>
      </c>
      <c r="G75">
        <f t="shared" si="1"/>
        <v>0</v>
      </c>
    </row>
    <row r="76" spans="2:7" ht="32" x14ac:dyDescent="0.2">
      <c r="B76" s="3" t="s">
        <v>4268</v>
      </c>
      <c r="C76" t="s">
        <v>4269</v>
      </c>
      <c r="D76"/>
      <c r="F76">
        <f t="shared" si="1"/>
        <v>0</v>
      </c>
      <c r="G76">
        <f t="shared" si="1"/>
        <v>0</v>
      </c>
    </row>
    <row r="77" spans="2:7" ht="32" x14ac:dyDescent="0.2">
      <c r="B77" s="3" t="s">
        <v>4270</v>
      </c>
      <c r="C77" t="s">
        <v>132</v>
      </c>
      <c r="D77"/>
      <c r="F77">
        <f t="shared" si="1"/>
        <v>0</v>
      </c>
      <c r="G77">
        <f t="shared" si="1"/>
        <v>0</v>
      </c>
    </row>
    <row r="78" spans="2:7" ht="16" x14ac:dyDescent="0.2">
      <c r="B78" s="3" t="s">
        <v>4271</v>
      </c>
      <c r="C78" t="s">
        <v>65</v>
      </c>
      <c r="D78"/>
      <c r="F78">
        <f t="shared" si="1"/>
        <v>0</v>
      </c>
      <c r="G78">
        <f t="shared" si="1"/>
        <v>0</v>
      </c>
    </row>
    <row r="79" spans="2:7" ht="48" x14ac:dyDescent="0.2">
      <c r="B79" s="3" t="s">
        <v>4272</v>
      </c>
      <c r="C79" t="s">
        <v>4273</v>
      </c>
      <c r="D79"/>
      <c r="F79">
        <f t="shared" si="1"/>
        <v>0</v>
      </c>
      <c r="G79">
        <f t="shared" si="1"/>
        <v>0</v>
      </c>
    </row>
    <row r="80" spans="2:7" ht="48" x14ac:dyDescent="0.2">
      <c r="B80" s="3" t="s">
        <v>4274</v>
      </c>
      <c r="C80" t="s">
        <v>4275</v>
      </c>
      <c r="D80"/>
      <c r="E80" t="s">
        <v>119</v>
      </c>
      <c r="F80">
        <f t="shared" si="1"/>
        <v>0</v>
      </c>
      <c r="G80">
        <f t="shared" si="1"/>
        <v>1</v>
      </c>
    </row>
    <row r="81" spans="2:7" ht="48" x14ac:dyDescent="0.2">
      <c r="B81" s="3" t="s">
        <v>4276</v>
      </c>
      <c r="C81" t="s">
        <v>1862</v>
      </c>
      <c r="D81"/>
      <c r="F81">
        <f t="shared" si="1"/>
        <v>0</v>
      </c>
      <c r="G81">
        <f t="shared" si="1"/>
        <v>0</v>
      </c>
    </row>
    <row r="82" spans="2:7" ht="32" x14ac:dyDescent="0.2">
      <c r="B82" s="3" t="s">
        <v>4277</v>
      </c>
      <c r="C82" t="s">
        <v>97</v>
      </c>
      <c r="D82"/>
      <c r="F82">
        <f t="shared" si="1"/>
        <v>0</v>
      </c>
      <c r="G82">
        <f t="shared" si="1"/>
        <v>0</v>
      </c>
    </row>
    <row r="83" spans="2:7" ht="48" x14ac:dyDescent="0.2">
      <c r="B83" s="3" t="s">
        <v>4278</v>
      </c>
      <c r="C83" t="s">
        <v>30</v>
      </c>
      <c r="D83"/>
      <c r="F83">
        <f t="shared" si="1"/>
        <v>0</v>
      </c>
      <c r="G83">
        <f t="shared" si="1"/>
        <v>0</v>
      </c>
    </row>
    <row r="84" spans="2:7" ht="48" x14ac:dyDescent="0.2">
      <c r="B84" s="3" t="s">
        <v>4279</v>
      </c>
      <c r="C84" t="s">
        <v>4280</v>
      </c>
      <c r="D84"/>
      <c r="E84" t="s">
        <v>4302</v>
      </c>
      <c r="F84">
        <f t="shared" si="1"/>
        <v>0</v>
      </c>
      <c r="G84">
        <f t="shared" si="1"/>
        <v>1</v>
      </c>
    </row>
    <row r="85" spans="2:7" ht="48" x14ac:dyDescent="0.2">
      <c r="B85" s="3" t="s">
        <v>4281</v>
      </c>
      <c r="C85" t="s">
        <v>4282</v>
      </c>
      <c r="D85"/>
      <c r="F85">
        <f t="shared" si="1"/>
        <v>0</v>
      </c>
      <c r="G85">
        <f t="shared" si="1"/>
        <v>0</v>
      </c>
    </row>
    <row r="86" spans="2:7" ht="32" x14ac:dyDescent="0.2">
      <c r="B86" s="3" t="s">
        <v>4283</v>
      </c>
      <c r="C86" t="s">
        <v>4284</v>
      </c>
      <c r="D86"/>
      <c r="F86">
        <f t="shared" si="1"/>
        <v>0</v>
      </c>
      <c r="G86">
        <f t="shared" si="1"/>
        <v>0</v>
      </c>
    </row>
    <row r="87" spans="2:7" ht="32" x14ac:dyDescent="0.2">
      <c r="B87" s="3" t="s">
        <v>4285</v>
      </c>
      <c r="C87" t="s">
        <v>232</v>
      </c>
      <c r="D87"/>
      <c r="F87">
        <f t="shared" si="1"/>
        <v>0</v>
      </c>
      <c r="G87">
        <f t="shared" si="1"/>
        <v>0</v>
      </c>
    </row>
    <row r="88" spans="2:7" ht="48" x14ac:dyDescent="0.2">
      <c r="B88" s="3" t="s">
        <v>4286</v>
      </c>
      <c r="C88" t="s">
        <v>65</v>
      </c>
      <c r="D88"/>
      <c r="E88" t="s">
        <v>1022</v>
      </c>
      <c r="F88">
        <f t="shared" si="1"/>
        <v>0</v>
      </c>
      <c r="G88">
        <f t="shared" si="1"/>
        <v>1</v>
      </c>
    </row>
    <row r="89" spans="2:7" ht="32" x14ac:dyDescent="0.2">
      <c r="B89" s="3" t="s">
        <v>4287</v>
      </c>
      <c r="C89" t="s">
        <v>122</v>
      </c>
      <c r="D89"/>
      <c r="E89" t="s">
        <v>46</v>
      </c>
      <c r="F89">
        <f t="shared" si="1"/>
        <v>0</v>
      </c>
      <c r="G89">
        <f t="shared" si="1"/>
        <v>1</v>
      </c>
    </row>
    <row r="90" spans="2:7" ht="48" x14ac:dyDescent="0.2">
      <c r="B90" s="3" t="s">
        <v>4288</v>
      </c>
      <c r="C90" t="s">
        <v>149</v>
      </c>
      <c r="D90"/>
      <c r="F90">
        <f t="shared" si="1"/>
        <v>0</v>
      </c>
      <c r="G90">
        <f t="shared" si="1"/>
        <v>0</v>
      </c>
    </row>
    <row r="91" spans="2:7" ht="32" x14ac:dyDescent="0.2">
      <c r="B91" s="3" t="s">
        <v>4289</v>
      </c>
      <c r="C91" t="s">
        <v>13</v>
      </c>
      <c r="D91"/>
      <c r="F91">
        <f t="shared" si="1"/>
        <v>0</v>
      </c>
      <c r="G91">
        <f t="shared" si="1"/>
        <v>0</v>
      </c>
    </row>
    <row r="92" spans="2:7" ht="16" x14ac:dyDescent="0.2">
      <c r="B92" s="3" t="s">
        <v>4290</v>
      </c>
      <c r="C92" t="s">
        <v>42</v>
      </c>
      <c r="D92"/>
      <c r="E92" t="s">
        <v>90</v>
      </c>
      <c r="F92">
        <f t="shared" si="1"/>
        <v>0</v>
      </c>
      <c r="G92">
        <f t="shared" si="1"/>
        <v>1</v>
      </c>
    </row>
    <row r="93" spans="2:7" ht="48" x14ac:dyDescent="0.2">
      <c r="B93" s="3" t="s">
        <v>4291</v>
      </c>
      <c r="C93" t="s">
        <v>84</v>
      </c>
      <c r="D93"/>
      <c r="F93">
        <f t="shared" si="1"/>
        <v>0</v>
      </c>
      <c r="G93">
        <f t="shared" si="1"/>
        <v>0</v>
      </c>
    </row>
    <row r="94" spans="2:7" ht="48" x14ac:dyDescent="0.2">
      <c r="B94" s="3" t="s">
        <v>4292</v>
      </c>
      <c r="C94" t="s">
        <v>1862</v>
      </c>
      <c r="D94"/>
      <c r="F94">
        <f t="shared" si="1"/>
        <v>0</v>
      </c>
      <c r="G94">
        <f t="shared" si="1"/>
        <v>0</v>
      </c>
    </row>
    <row r="95" spans="2:7" ht="48" x14ac:dyDescent="0.2">
      <c r="B95" s="3" t="s">
        <v>4293</v>
      </c>
      <c r="C95" t="s">
        <v>150</v>
      </c>
      <c r="D95"/>
      <c r="E95" t="s">
        <v>48</v>
      </c>
      <c r="F95">
        <f t="shared" si="1"/>
        <v>0</v>
      </c>
      <c r="G95">
        <f t="shared" si="1"/>
        <v>1</v>
      </c>
    </row>
    <row r="96" spans="2:7" ht="32" x14ac:dyDescent="0.2">
      <c r="B96" s="3" t="s">
        <v>4294</v>
      </c>
      <c r="C96" t="s">
        <v>4007</v>
      </c>
      <c r="D96"/>
      <c r="F96">
        <f t="shared" si="1"/>
        <v>0</v>
      </c>
      <c r="G96">
        <f t="shared" si="1"/>
        <v>0</v>
      </c>
    </row>
    <row r="97" spans="2:7" ht="32" x14ac:dyDescent="0.2">
      <c r="B97" s="3" t="s">
        <v>4295</v>
      </c>
      <c r="C97" t="s">
        <v>254</v>
      </c>
      <c r="D97"/>
      <c r="F97">
        <f t="shared" si="1"/>
        <v>0</v>
      </c>
      <c r="G97">
        <f t="shared" si="1"/>
        <v>0</v>
      </c>
    </row>
    <row r="98" spans="2:7" ht="48" x14ac:dyDescent="0.2">
      <c r="B98" s="3" t="s">
        <v>4296</v>
      </c>
      <c r="C98" t="s">
        <v>3815</v>
      </c>
      <c r="D98"/>
      <c r="F98">
        <f t="shared" si="1"/>
        <v>0</v>
      </c>
      <c r="G98">
        <f t="shared" si="1"/>
        <v>0</v>
      </c>
    </row>
    <row r="99" spans="2:7" ht="48" x14ac:dyDescent="0.2">
      <c r="B99" s="3" t="s">
        <v>4297</v>
      </c>
      <c r="C99" t="s">
        <v>30</v>
      </c>
      <c r="D99"/>
      <c r="F99">
        <f t="shared" si="1"/>
        <v>0</v>
      </c>
      <c r="G99">
        <f t="shared" si="1"/>
        <v>0</v>
      </c>
    </row>
    <row r="100" spans="2:7" ht="32" x14ac:dyDescent="0.2">
      <c r="B100" s="3" t="s">
        <v>4298</v>
      </c>
      <c r="C100" t="s">
        <v>4299</v>
      </c>
      <c r="D100"/>
      <c r="F100">
        <f t="shared" si="1"/>
        <v>0</v>
      </c>
      <c r="G100">
        <f t="shared" si="1"/>
        <v>0</v>
      </c>
    </row>
    <row r="101" spans="2:7" ht="32" x14ac:dyDescent="0.2">
      <c r="B101" s="3" t="s">
        <v>4300</v>
      </c>
      <c r="C101" t="s">
        <v>4301</v>
      </c>
      <c r="D101"/>
      <c r="F101">
        <f t="shared" si="1"/>
        <v>0</v>
      </c>
      <c r="G101">
        <f t="shared" si="1"/>
        <v>0</v>
      </c>
    </row>
    <row r="103" spans="2:7" x14ac:dyDescent="0.2">
      <c r="F103" s="10">
        <f>SUM(F2:F101)</f>
        <v>0</v>
      </c>
      <c r="G103" s="10">
        <f>SUM(G2:G101)</f>
        <v>11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BFFB-A98B-FE45-B6BD-98F1B3AC3B6A}">
  <dimension ref="A1:G103"/>
  <sheetViews>
    <sheetView topLeftCell="A94" zoomScale="170" zoomScaleNormal="170" workbookViewId="0">
      <selection activeCell="D102" sqref="D102"/>
    </sheetView>
  </sheetViews>
  <sheetFormatPr baseColWidth="10" defaultRowHeight="15" x14ac:dyDescent="0.2"/>
  <cols>
    <col min="1" max="1" width="6.83203125" style="3" customWidth="1"/>
    <col min="2" max="2" width="56.1640625" style="7" customWidth="1"/>
    <col min="4" max="4" width="15.1640625" style="9" customWidth="1"/>
    <col min="5" max="5" width="13.33203125" customWidth="1"/>
  </cols>
  <sheetData>
    <row r="1" spans="1:7" ht="16" x14ac:dyDescent="0.2">
      <c r="A1" s="2" t="s">
        <v>0</v>
      </c>
      <c r="B1" s="2" t="s">
        <v>0</v>
      </c>
      <c r="C1" s="1" t="s">
        <v>1</v>
      </c>
      <c r="D1" s="8" t="s">
        <v>44</v>
      </c>
      <c r="E1" s="1" t="s">
        <v>45</v>
      </c>
      <c r="F1" s="1" t="s">
        <v>44</v>
      </c>
      <c r="G1" s="1" t="s">
        <v>45</v>
      </c>
    </row>
    <row r="2" spans="1:7" ht="48" x14ac:dyDescent="0.2">
      <c r="B2" s="3" t="s">
        <v>4303</v>
      </c>
      <c r="C2" t="s">
        <v>99</v>
      </c>
      <c r="D2"/>
      <c r="F2">
        <f>IF(D2="",0,1)</f>
        <v>0</v>
      </c>
      <c r="G2">
        <f>IF(E2="",0,1)</f>
        <v>0</v>
      </c>
    </row>
    <row r="3" spans="1:7" ht="48" x14ac:dyDescent="0.2">
      <c r="B3" s="3" t="s">
        <v>4304</v>
      </c>
      <c r="C3" t="s">
        <v>4305</v>
      </c>
      <c r="D3"/>
      <c r="F3">
        <f t="shared" ref="F3:G66" si="0">IF(D3="",0,1)</f>
        <v>0</v>
      </c>
      <c r="G3">
        <f t="shared" si="0"/>
        <v>0</v>
      </c>
    </row>
    <row r="4" spans="1:7" ht="48" x14ac:dyDescent="0.2">
      <c r="B4" s="3" t="s">
        <v>4306</v>
      </c>
      <c r="C4" t="s">
        <v>181</v>
      </c>
      <c r="D4"/>
      <c r="F4">
        <f t="shared" si="0"/>
        <v>0</v>
      </c>
      <c r="G4">
        <f t="shared" si="0"/>
        <v>0</v>
      </c>
    </row>
    <row r="5" spans="1:7" ht="48" x14ac:dyDescent="0.2">
      <c r="B5" s="3" t="s">
        <v>4307</v>
      </c>
      <c r="C5" t="s">
        <v>4308</v>
      </c>
      <c r="D5"/>
      <c r="F5">
        <f t="shared" si="0"/>
        <v>0</v>
      </c>
      <c r="G5">
        <f t="shared" si="0"/>
        <v>0</v>
      </c>
    </row>
    <row r="6" spans="1:7" ht="48" x14ac:dyDescent="0.2">
      <c r="B6" s="3" t="s">
        <v>4309</v>
      </c>
      <c r="C6" t="s">
        <v>3670</v>
      </c>
      <c r="D6"/>
      <c r="F6">
        <f t="shared" si="0"/>
        <v>0</v>
      </c>
      <c r="G6">
        <f t="shared" si="0"/>
        <v>0</v>
      </c>
    </row>
    <row r="7" spans="1:7" ht="48" x14ac:dyDescent="0.2">
      <c r="B7" s="3" t="s">
        <v>4310</v>
      </c>
      <c r="C7" t="s">
        <v>5</v>
      </c>
      <c r="D7"/>
      <c r="F7">
        <f t="shared" si="0"/>
        <v>0</v>
      </c>
      <c r="G7">
        <f t="shared" si="0"/>
        <v>0</v>
      </c>
    </row>
    <row r="8" spans="1:7" ht="48" x14ac:dyDescent="0.2">
      <c r="B8" s="3" t="s">
        <v>4311</v>
      </c>
      <c r="C8" t="s">
        <v>4312</v>
      </c>
      <c r="D8"/>
      <c r="F8">
        <f t="shared" si="0"/>
        <v>0</v>
      </c>
      <c r="G8">
        <f t="shared" si="0"/>
        <v>0</v>
      </c>
    </row>
    <row r="9" spans="1:7" ht="48" x14ac:dyDescent="0.2">
      <c r="B9" s="3" t="s">
        <v>4313</v>
      </c>
      <c r="C9" t="s">
        <v>122</v>
      </c>
      <c r="D9"/>
      <c r="E9" t="s">
        <v>141</v>
      </c>
      <c r="F9">
        <f t="shared" si="0"/>
        <v>0</v>
      </c>
      <c r="G9">
        <f t="shared" si="0"/>
        <v>1</v>
      </c>
    </row>
    <row r="10" spans="1:7" ht="48" x14ac:dyDescent="0.2">
      <c r="B10" s="3" t="s">
        <v>4314</v>
      </c>
      <c r="C10" t="s">
        <v>42</v>
      </c>
      <c r="D10"/>
      <c r="F10">
        <f t="shared" si="0"/>
        <v>0</v>
      </c>
      <c r="G10">
        <f t="shared" si="0"/>
        <v>0</v>
      </c>
    </row>
    <row r="11" spans="1:7" ht="48" x14ac:dyDescent="0.2">
      <c r="B11" s="3" t="s">
        <v>4315</v>
      </c>
      <c r="C11" t="s">
        <v>4316</v>
      </c>
      <c r="D11"/>
      <c r="F11">
        <f t="shared" si="0"/>
        <v>0</v>
      </c>
      <c r="G11">
        <f t="shared" si="0"/>
        <v>0</v>
      </c>
    </row>
    <row r="12" spans="1:7" ht="48" x14ac:dyDescent="0.2">
      <c r="B12" s="3" t="s">
        <v>4317</v>
      </c>
      <c r="C12" t="s">
        <v>4318</v>
      </c>
      <c r="D12"/>
      <c r="F12">
        <f t="shared" si="0"/>
        <v>0</v>
      </c>
      <c r="G12">
        <f t="shared" si="0"/>
        <v>0</v>
      </c>
    </row>
    <row r="13" spans="1:7" ht="48" x14ac:dyDescent="0.2">
      <c r="B13" s="3" t="s">
        <v>4319</v>
      </c>
      <c r="C13" t="s">
        <v>4320</v>
      </c>
      <c r="D13"/>
      <c r="F13">
        <f t="shared" si="0"/>
        <v>0</v>
      </c>
      <c r="G13">
        <f t="shared" si="0"/>
        <v>0</v>
      </c>
    </row>
    <row r="14" spans="1:7" ht="48" x14ac:dyDescent="0.2">
      <c r="B14" s="3" t="s">
        <v>4321</v>
      </c>
      <c r="C14" t="s">
        <v>4322</v>
      </c>
      <c r="D14"/>
      <c r="F14">
        <f t="shared" si="0"/>
        <v>0</v>
      </c>
      <c r="G14">
        <f t="shared" si="0"/>
        <v>0</v>
      </c>
    </row>
    <row r="15" spans="1:7" ht="48" x14ac:dyDescent="0.2">
      <c r="B15" s="3" t="s">
        <v>4323</v>
      </c>
      <c r="C15" t="s">
        <v>1143</v>
      </c>
      <c r="D15"/>
      <c r="F15">
        <f t="shared" si="0"/>
        <v>0</v>
      </c>
      <c r="G15">
        <f t="shared" si="0"/>
        <v>0</v>
      </c>
    </row>
    <row r="16" spans="1:7" ht="48" x14ac:dyDescent="0.2">
      <c r="B16" s="3" t="s">
        <v>4324</v>
      </c>
      <c r="C16" t="s">
        <v>30</v>
      </c>
      <c r="D16"/>
      <c r="F16">
        <f t="shared" si="0"/>
        <v>0</v>
      </c>
      <c r="G16">
        <f t="shared" si="0"/>
        <v>0</v>
      </c>
    </row>
    <row r="17" spans="2:7" ht="48" x14ac:dyDescent="0.2">
      <c r="B17" s="3" t="s">
        <v>4325</v>
      </c>
      <c r="C17" t="s">
        <v>30</v>
      </c>
      <c r="D17"/>
      <c r="F17">
        <f t="shared" si="0"/>
        <v>0</v>
      </c>
      <c r="G17">
        <f t="shared" si="0"/>
        <v>0</v>
      </c>
    </row>
    <row r="18" spans="2:7" ht="48" x14ac:dyDescent="0.2">
      <c r="B18" s="3" t="s">
        <v>4326</v>
      </c>
      <c r="C18" t="s">
        <v>5</v>
      </c>
      <c r="D18"/>
      <c r="F18">
        <f t="shared" si="0"/>
        <v>0</v>
      </c>
      <c r="G18">
        <f t="shared" si="0"/>
        <v>0</v>
      </c>
    </row>
    <row r="19" spans="2:7" ht="48" x14ac:dyDescent="0.2">
      <c r="B19" s="3" t="s">
        <v>4327</v>
      </c>
      <c r="C19" t="s">
        <v>77</v>
      </c>
      <c r="D19"/>
      <c r="F19">
        <f t="shared" si="0"/>
        <v>0</v>
      </c>
      <c r="G19">
        <f t="shared" si="0"/>
        <v>0</v>
      </c>
    </row>
    <row r="20" spans="2:7" ht="48" x14ac:dyDescent="0.2">
      <c r="B20" s="3" t="s">
        <v>4328</v>
      </c>
      <c r="C20" t="s">
        <v>4329</v>
      </c>
      <c r="D20"/>
      <c r="F20">
        <f t="shared" si="0"/>
        <v>0</v>
      </c>
      <c r="G20">
        <f t="shared" si="0"/>
        <v>0</v>
      </c>
    </row>
    <row r="21" spans="2:7" ht="32" x14ac:dyDescent="0.2">
      <c r="B21" s="3" t="s">
        <v>4330</v>
      </c>
      <c r="C21" t="s">
        <v>4331</v>
      </c>
      <c r="D21"/>
      <c r="F21">
        <f t="shared" si="0"/>
        <v>0</v>
      </c>
      <c r="G21">
        <f t="shared" si="0"/>
        <v>0</v>
      </c>
    </row>
    <row r="22" spans="2:7" ht="32" x14ac:dyDescent="0.2">
      <c r="B22" s="3" t="s">
        <v>4332</v>
      </c>
      <c r="C22" t="s">
        <v>140</v>
      </c>
      <c r="D22"/>
      <c r="F22">
        <f t="shared" si="0"/>
        <v>0</v>
      </c>
      <c r="G22">
        <f t="shared" si="0"/>
        <v>0</v>
      </c>
    </row>
    <row r="23" spans="2:7" ht="48" x14ac:dyDescent="0.2">
      <c r="B23" s="3" t="s">
        <v>4333</v>
      </c>
      <c r="C23" t="s">
        <v>4334</v>
      </c>
      <c r="D23"/>
      <c r="F23">
        <f t="shared" si="0"/>
        <v>0</v>
      </c>
      <c r="G23">
        <f t="shared" si="0"/>
        <v>0</v>
      </c>
    </row>
    <row r="24" spans="2:7" ht="48" x14ac:dyDescent="0.2">
      <c r="B24" s="3" t="s">
        <v>4335</v>
      </c>
      <c r="C24" t="s">
        <v>4336</v>
      </c>
      <c r="D24"/>
      <c r="F24">
        <f t="shared" si="0"/>
        <v>0</v>
      </c>
      <c r="G24">
        <f t="shared" si="0"/>
        <v>0</v>
      </c>
    </row>
    <row r="25" spans="2:7" ht="48" x14ac:dyDescent="0.2">
      <c r="B25" s="3" t="s">
        <v>4337</v>
      </c>
      <c r="C25" t="s">
        <v>4338</v>
      </c>
      <c r="D25"/>
      <c r="E25" t="s">
        <v>4451</v>
      </c>
      <c r="F25">
        <f t="shared" si="0"/>
        <v>0</v>
      </c>
      <c r="G25">
        <f t="shared" si="0"/>
        <v>1</v>
      </c>
    </row>
    <row r="26" spans="2:7" ht="48" x14ac:dyDescent="0.2">
      <c r="B26" s="3" t="s">
        <v>4339</v>
      </c>
      <c r="C26" t="s">
        <v>61</v>
      </c>
      <c r="D26"/>
      <c r="F26">
        <f t="shared" si="0"/>
        <v>0</v>
      </c>
      <c r="G26">
        <f t="shared" si="0"/>
        <v>0</v>
      </c>
    </row>
    <row r="27" spans="2:7" ht="48" x14ac:dyDescent="0.2">
      <c r="B27" s="3" t="s">
        <v>4340</v>
      </c>
      <c r="C27" t="s">
        <v>114</v>
      </c>
      <c r="D27"/>
      <c r="F27">
        <f t="shared" si="0"/>
        <v>0</v>
      </c>
      <c r="G27">
        <f t="shared" si="0"/>
        <v>0</v>
      </c>
    </row>
    <row r="28" spans="2:7" ht="48" x14ac:dyDescent="0.2">
      <c r="B28" s="3" t="s">
        <v>4341</v>
      </c>
      <c r="C28" t="s">
        <v>1128</v>
      </c>
      <c r="D28" t="s">
        <v>4452</v>
      </c>
      <c r="F28">
        <f t="shared" si="0"/>
        <v>1</v>
      </c>
      <c r="G28">
        <f t="shared" si="0"/>
        <v>0</v>
      </c>
    </row>
    <row r="29" spans="2:7" ht="48" x14ac:dyDescent="0.2">
      <c r="B29" s="3" t="s">
        <v>4342</v>
      </c>
      <c r="C29" t="s">
        <v>1868</v>
      </c>
      <c r="D29"/>
      <c r="F29">
        <f t="shared" si="0"/>
        <v>0</v>
      </c>
      <c r="G29">
        <f t="shared" si="0"/>
        <v>0</v>
      </c>
    </row>
    <row r="30" spans="2:7" ht="48" x14ac:dyDescent="0.2">
      <c r="B30" s="3" t="s">
        <v>4343</v>
      </c>
      <c r="C30" t="s">
        <v>37</v>
      </c>
      <c r="D30"/>
      <c r="F30">
        <f t="shared" si="0"/>
        <v>0</v>
      </c>
      <c r="G30">
        <f t="shared" si="0"/>
        <v>0</v>
      </c>
    </row>
    <row r="31" spans="2:7" ht="48" x14ac:dyDescent="0.2">
      <c r="B31" s="3" t="s">
        <v>4344</v>
      </c>
      <c r="C31" t="s">
        <v>4345</v>
      </c>
      <c r="D31"/>
      <c r="F31">
        <f t="shared" si="0"/>
        <v>0</v>
      </c>
      <c r="G31">
        <f t="shared" si="0"/>
        <v>0</v>
      </c>
    </row>
    <row r="32" spans="2:7" ht="48" x14ac:dyDescent="0.2">
      <c r="B32" s="3" t="s">
        <v>4346</v>
      </c>
      <c r="C32" t="s">
        <v>42</v>
      </c>
      <c r="D32"/>
      <c r="F32">
        <f t="shared" si="0"/>
        <v>0</v>
      </c>
      <c r="G32">
        <f t="shared" si="0"/>
        <v>0</v>
      </c>
    </row>
    <row r="33" spans="2:7" ht="48" x14ac:dyDescent="0.2">
      <c r="B33" s="3" t="s">
        <v>4347</v>
      </c>
      <c r="C33" t="s">
        <v>83</v>
      </c>
      <c r="D33"/>
      <c r="F33">
        <f t="shared" si="0"/>
        <v>0</v>
      </c>
      <c r="G33">
        <f t="shared" si="0"/>
        <v>0</v>
      </c>
    </row>
    <row r="34" spans="2:7" ht="48" x14ac:dyDescent="0.2">
      <c r="B34" s="3" t="s">
        <v>4348</v>
      </c>
      <c r="C34" t="s">
        <v>4349</v>
      </c>
      <c r="D34"/>
      <c r="F34">
        <f t="shared" si="0"/>
        <v>0</v>
      </c>
      <c r="G34">
        <f t="shared" si="0"/>
        <v>0</v>
      </c>
    </row>
    <row r="35" spans="2:7" ht="48" x14ac:dyDescent="0.2">
      <c r="B35" s="3" t="s">
        <v>4350</v>
      </c>
      <c r="C35" t="s">
        <v>4351</v>
      </c>
      <c r="D35"/>
      <c r="E35" t="s">
        <v>169</v>
      </c>
      <c r="F35">
        <f t="shared" si="0"/>
        <v>0</v>
      </c>
      <c r="G35">
        <f t="shared" si="0"/>
        <v>1</v>
      </c>
    </row>
    <row r="36" spans="2:7" ht="32" x14ac:dyDescent="0.2">
      <c r="B36" s="3" t="s">
        <v>4352</v>
      </c>
      <c r="C36" t="s">
        <v>4353</v>
      </c>
      <c r="D36"/>
      <c r="F36">
        <f t="shared" si="0"/>
        <v>0</v>
      </c>
      <c r="G36">
        <f t="shared" si="0"/>
        <v>0</v>
      </c>
    </row>
    <row r="37" spans="2:7" ht="48" x14ac:dyDescent="0.2">
      <c r="B37" s="3" t="s">
        <v>4354</v>
      </c>
      <c r="C37" t="s">
        <v>5</v>
      </c>
      <c r="D37"/>
      <c r="F37">
        <f t="shared" si="0"/>
        <v>0</v>
      </c>
      <c r="G37">
        <f t="shared" si="0"/>
        <v>0</v>
      </c>
    </row>
    <row r="38" spans="2:7" ht="48" x14ac:dyDescent="0.2">
      <c r="B38" s="3" t="s">
        <v>4355</v>
      </c>
      <c r="C38" t="s">
        <v>15</v>
      </c>
      <c r="D38"/>
      <c r="F38">
        <f t="shared" si="0"/>
        <v>0</v>
      </c>
      <c r="G38">
        <f t="shared" si="0"/>
        <v>0</v>
      </c>
    </row>
    <row r="39" spans="2:7" ht="48" x14ac:dyDescent="0.2">
      <c r="B39" s="3" t="s">
        <v>4356</v>
      </c>
      <c r="C39" t="s">
        <v>4357</v>
      </c>
      <c r="D39"/>
      <c r="F39">
        <f t="shared" si="0"/>
        <v>0</v>
      </c>
      <c r="G39">
        <f t="shared" si="0"/>
        <v>0</v>
      </c>
    </row>
    <row r="40" spans="2:7" ht="48" x14ac:dyDescent="0.2">
      <c r="B40" s="3" t="s">
        <v>4358</v>
      </c>
      <c r="C40" t="s">
        <v>4359</v>
      </c>
      <c r="D40"/>
      <c r="F40">
        <f t="shared" si="0"/>
        <v>0</v>
      </c>
      <c r="G40">
        <f t="shared" si="0"/>
        <v>0</v>
      </c>
    </row>
    <row r="41" spans="2:7" ht="48" x14ac:dyDescent="0.2">
      <c r="B41" s="3" t="s">
        <v>4360</v>
      </c>
      <c r="C41" t="s">
        <v>4361</v>
      </c>
      <c r="D41"/>
      <c r="F41">
        <f t="shared" si="0"/>
        <v>0</v>
      </c>
      <c r="G41">
        <f t="shared" si="0"/>
        <v>0</v>
      </c>
    </row>
    <row r="42" spans="2:7" ht="48" x14ac:dyDescent="0.2">
      <c r="B42" s="3" t="s">
        <v>4362</v>
      </c>
      <c r="C42" t="s">
        <v>4363</v>
      </c>
      <c r="D42"/>
      <c r="F42">
        <f t="shared" si="0"/>
        <v>0</v>
      </c>
      <c r="G42">
        <f t="shared" si="0"/>
        <v>0</v>
      </c>
    </row>
    <row r="43" spans="2:7" ht="48" x14ac:dyDescent="0.2">
      <c r="B43" s="3" t="s">
        <v>4364</v>
      </c>
      <c r="C43" t="s">
        <v>6</v>
      </c>
      <c r="D43"/>
      <c r="F43">
        <f t="shared" si="0"/>
        <v>0</v>
      </c>
      <c r="G43">
        <f t="shared" si="0"/>
        <v>0</v>
      </c>
    </row>
    <row r="44" spans="2:7" ht="48" x14ac:dyDescent="0.2">
      <c r="B44" s="3" t="s">
        <v>4365</v>
      </c>
      <c r="C44" t="s">
        <v>5</v>
      </c>
      <c r="D44"/>
      <c r="F44">
        <f t="shared" si="0"/>
        <v>0</v>
      </c>
      <c r="G44">
        <f t="shared" si="0"/>
        <v>0</v>
      </c>
    </row>
    <row r="45" spans="2:7" ht="48" x14ac:dyDescent="0.2">
      <c r="B45" s="3" t="s">
        <v>4366</v>
      </c>
      <c r="C45" t="s">
        <v>3802</v>
      </c>
      <c r="D45"/>
      <c r="F45">
        <f t="shared" si="0"/>
        <v>0</v>
      </c>
      <c r="G45">
        <f t="shared" si="0"/>
        <v>0</v>
      </c>
    </row>
    <row r="46" spans="2:7" ht="48" x14ac:dyDescent="0.2">
      <c r="B46" s="3" t="s">
        <v>4367</v>
      </c>
      <c r="C46" t="s">
        <v>4368</v>
      </c>
      <c r="D46"/>
      <c r="F46">
        <f t="shared" si="0"/>
        <v>0</v>
      </c>
      <c r="G46">
        <f t="shared" si="0"/>
        <v>0</v>
      </c>
    </row>
    <row r="47" spans="2:7" ht="48" x14ac:dyDescent="0.2">
      <c r="B47" s="3" t="s">
        <v>4369</v>
      </c>
      <c r="C47" t="s">
        <v>61</v>
      </c>
      <c r="D47"/>
      <c r="F47">
        <f t="shared" si="0"/>
        <v>0</v>
      </c>
      <c r="G47">
        <f t="shared" si="0"/>
        <v>0</v>
      </c>
    </row>
    <row r="48" spans="2:7" ht="48" x14ac:dyDescent="0.2">
      <c r="B48" s="3" t="s">
        <v>4370</v>
      </c>
      <c r="C48" t="s">
        <v>4371</v>
      </c>
      <c r="D48"/>
      <c r="F48">
        <f t="shared" si="0"/>
        <v>0</v>
      </c>
      <c r="G48">
        <f t="shared" si="0"/>
        <v>0</v>
      </c>
    </row>
    <row r="49" spans="2:7" ht="48" x14ac:dyDescent="0.2">
      <c r="B49" s="3" t="s">
        <v>4372</v>
      </c>
      <c r="C49" t="s">
        <v>37</v>
      </c>
      <c r="D49"/>
      <c r="F49">
        <f t="shared" si="0"/>
        <v>0</v>
      </c>
      <c r="G49">
        <f t="shared" si="0"/>
        <v>0</v>
      </c>
    </row>
    <row r="50" spans="2:7" ht="48" x14ac:dyDescent="0.2">
      <c r="B50" s="3" t="s">
        <v>4373</v>
      </c>
      <c r="C50" t="s">
        <v>4374</v>
      </c>
      <c r="D50"/>
      <c r="F50">
        <f t="shared" si="0"/>
        <v>0</v>
      </c>
      <c r="G50">
        <f t="shared" si="0"/>
        <v>0</v>
      </c>
    </row>
    <row r="51" spans="2:7" ht="48" x14ac:dyDescent="0.2">
      <c r="B51" s="3" t="s">
        <v>4375</v>
      </c>
      <c r="C51" t="s">
        <v>4376</v>
      </c>
      <c r="D51"/>
      <c r="E51" t="s">
        <v>85</v>
      </c>
      <c r="F51">
        <f t="shared" si="0"/>
        <v>0</v>
      </c>
      <c r="G51">
        <f t="shared" si="0"/>
        <v>1</v>
      </c>
    </row>
    <row r="52" spans="2:7" ht="48" x14ac:dyDescent="0.2">
      <c r="B52" s="3" t="s">
        <v>4377</v>
      </c>
      <c r="C52" t="s">
        <v>21</v>
      </c>
      <c r="D52"/>
      <c r="F52">
        <f t="shared" si="0"/>
        <v>0</v>
      </c>
      <c r="G52">
        <f t="shared" si="0"/>
        <v>0</v>
      </c>
    </row>
    <row r="53" spans="2:7" ht="48" x14ac:dyDescent="0.2">
      <c r="B53" s="3" t="s">
        <v>4378</v>
      </c>
      <c r="C53" t="s">
        <v>4379</v>
      </c>
      <c r="D53"/>
      <c r="E53" t="s">
        <v>48</v>
      </c>
      <c r="F53">
        <f t="shared" si="0"/>
        <v>0</v>
      </c>
      <c r="G53">
        <f t="shared" si="0"/>
        <v>1</v>
      </c>
    </row>
    <row r="54" spans="2:7" ht="48" x14ac:dyDescent="0.2">
      <c r="B54" s="3" t="s">
        <v>4380</v>
      </c>
      <c r="C54" t="s">
        <v>4381</v>
      </c>
      <c r="D54"/>
      <c r="F54">
        <f t="shared" si="0"/>
        <v>0</v>
      </c>
      <c r="G54">
        <f t="shared" si="0"/>
        <v>0</v>
      </c>
    </row>
    <row r="55" spans="2:7" ht="48" x14ac:dyDescent="0.2">
      <c r="B55" s="3" t="s">
        <v>4382</v>
      </c>
      <c r="C55" t="s">
        <v>4383</v>
      </c>
      <c r="D55"/>
      <c r="F55">
        <f t="shared" si="0"/>
        <v>0</v>
      </c>
      <c r="G55">
        <f t="shared" si="0"/>
        <v>0</v>
      </c>
    </row>
    <row r="56" spans="2:7" ht="48" x14ac:dyDescent="0.2">
      <c r="B56" s="3" t="s">
        <v>4384</v>
      </c>
      <c r="C56" t="s">
        <v>293</v>
      </c>
      <c r="D56"/>
      <c r="F56">
        <f t="shared" si="0"/>
        <v>0</v>
      </c>
      <c r="G56">
        <f t="shared" si="0"/>
        <v>0</v>
      </c>
    </row>
    <row r="57" spans="2:7" ht="48" x14ac:dyDescent="0.2">
      <c r="B57" s="3" t="s">
        <v>4385</v>
      </c>
      <c r="C57" t="s">
        <v>2</v>
      </c>
      <c r="D57"/>
      <c r="F57">
        <f t="shared" si="0"/>
        <v>0</v>
      </c>
      <c r="G57">
        <f t="shared" si="0"/>
        <v>0</v>
      </c>
    </row>
    <row r="58" spans="2:7" ht="48" x14ac:dyDescent="0.2">
      <c r="B58" s="3" t="s">
        <v>4386</v>
      </c>
      <c r="C58" t="s">
        <v>4454</v>
      </c>
      <c r="D58"/>
      <c r="F58">
        <f t="shared" si="0"/>
        <v>0</v>
      </c>
      <c r="G58">
        <f t="shared" si="0"/>
        <v>0</v>
      </c>
    </row>
    <row r="59" spans="2:7" ht="48" x14ac:dyDescent="0.2">
      <c r="B59" s="3" t="s">
        <v>4387</v>
      </c>
      <c r="C59" t="s">
        <v>30</v>
      </c>
      <c r="D59"/>
      <c r="F59">
        <f t="shared" si="0"/>
        <v>0</v>
      </c>
      <c r="G59">
        <f t="shared" si="0"/>
        <v>0</v>
      </c>
    </row>
    <row r="60" spans="2:7" ht="48" x14ac:dyDescent="0.2">
      <c r="B60" s="3" t="s">
        <v>4388</v>
      </c>
      <c r="C60" t="s">
        <v>3664</v>
      </c>
      <c r="D60"/>
      <c r="F60">
        <f t="shared" si="0"/>
        <v>0</v>
      </c>
      <c r="G60">
        <f t="shared" si="0"/>
        <v>0</v>
      </c>
    </row>
    <row r="61" spans="2:7" ht="48" x14ac:dyDescent="0.2">
      <c r="B61" s="3" t="s">
        <v>4389</v>
      </c>
      <c r="C61" t="s">
        <v>4390</v>
      </c>
      <c r="D61"/>
      <c r="F61">
        <f t="shared" si="0"/>
        <v>0</v>
      </c>
      <c r="G61">
        <f t="shared" si="0"/>
        <v>0</v>
      </c>
    </row>
    <row r="62" spans="2:7" ht="48" x14ac:dyDescent="0.2">
      <c r="B62" s="3" t="s">
        <v>4391</v>
      </c>
      <c r="C62" t="s">
        <v>235</v>
      </c>
      <c r="D62"/>
      <c r="F62">
        <f t="shared" si="0"/>
        <v>0</v>
      </c>
      <c r="G62">
        <f t="shared" si="0"/>
        <v>0</v>
      </c>
    </row>
    <row r="63" spans="2:7" ht="48" x14ac:dyDescent="0.2">
      <c r="B63" s="3" t="s">
        <v>4392</v>
      </c>
      <c r="C63" t="s">
        <v>4393</v>
      </c>
      <c r="D63"/>
      <c r="F63">
        <f t="shared" si="0"/>
        <v>0</v>
      </c>
      <c r="G63">
        <f t="shared" si="0"/>
        <v>0</v>
      </c>
    </row>
    <row r="64" spans="2:7" ht="48" x14ac:dyDescent="0.2">
      <c r="B64" s="3" t="s">
        <v>4394</v>
      </c>
      <c r="C64" t="s">
        <v>4395</v>
      </c>
      <c r="D64"/>
      <c r="F64">
        <f t="shared" si="0"/>
        <v>0</v>
      </c>
      <c r="G64">
        <f t="shared" si="0"/>
        <v>0</v>
      </c>
    </row>
    <row r="65" spans="2:7" ht="48" x14ac:dyDescent="0.2">
      <c r="B65" s="3" t="s">
        <v>4396</v>
      </c>
      <c r="C65" t="s">
        <v>4397</v>
      </c>
      <c r="D65"/>
      <c r="F65">
        <f t="shared" si="0"/>
        <v>0</v>
      </c>
      <c r="G65">
        <f t="shared" si="0"/>
        <v>0</v>
      </c>
    </row>
    <row r="66" spans="2:7" ht="48" x14ac:dyDescent="0.2">
      <c r="B66" s="3" t="s">
        <v>4398</v>
      </c>
      <c r="C66" t="s">
        <v>4399</v>
      </c>
      <c r="D66"/>
      <c r="F66">
        <f t="shared" si="0"/>
        <v>0</v>
      </c>
      <c r="G66">
        <f t="shared" si="0"/>
        <v>0</v>
      </c>
    </row>
    <row r="67" spans="2:7" ht="48" x14ac:dyDescent="0.2">
      <c r="B67" s="3" t="s">
        <v>4400</v>
      </c>
      <c r="C67" t="s">
        <v>11</v>
      </c>
      <c r="D67"/>
      <c r="E67" t="s">
        <v>48</v>
      </c>
      <c r="F67">
        <f t="shared" ref="F67:G101" si="1">IF(D67="",0,1)</f>
        <v>0</v>
      </c>
      <c r="G67">
        <f t="shared" si="1"/>
        <v>1</v>
      </c>
    </row>
    <row r="68" spans="2:7" ht="48" x14ac:dyDescent="0.2">
      <c r="B68" s="3" t="s">
        <v>4401</v>
      </c>
      <c r="C68" t="s">
        <v>3383</v>
      </c>
      <c r="D68"/>
      <c r="F68">
        <f t="shared" si="1"/>
        <v>0</v>
      </c>
      <c r="G68">
        <f t="shared" si="1"/>
        <v>0</v>
      </c>
    </row>
    <row r="69" spans="2:7" ht="48" x14ac:dyDescent="0.2">
      <c r="B69" s="3" t="s">
        <v>4402</v>
      </c>
      <c r="C69" t="s">
        <v>4403</v>
      </c>
      <c r="D69"/>
      <c r="F69">
        <f t="shared" si="1"/>
        <v>0</v>
      </c>
      <c r="G69">
        <f t="shared" si="1"/>
        <v>0</v>
      </c>
    </row>
    <row r="70" spans="2:7" ht="48" x14ac:dyDescent="0.2">
      <c r="B70" s="3" t="s">
        <v>4404</v>
      </c>
      <c r="C70" t="s">
        <v>4405</v>
      </c>
      <c r="D70"/>
      <c r="F70">
        <f t="shared" si="1"/>
        <v>0</v>
      </c>
      <c r="G70">
        <f t="shared" si="1"/>
        <v>0</v>
      </c>
    </row>
    <row r="71" spans="2:7" ht="48" x14ac:dyDescent="0.2">
      <c r="B71" s="3" t="s">
        <v>4406</v>
      </c>
      <c r="C71" t="s">
        <v>140</v>
      </c>
      <c r="D71"/>
      <c r="F71">
        <f t="shared" si="1"/>
        <v>0</v>
      </c>
      <c r="G71">
        <f t="shared" si="1"/>
        <v>0</v>
      </c>
    </row>
    <row r="72" spans="2:7" ht="48" x14ac:dyDescent="0.2">
      <c r="B72" s="3" t="s">
        <v>4407</v>
      </c>
      <c r="C72" t="s">
        <v>2924</v>
      </c>
      <c r="D72"/>
      <c r="F72">
        <f t="shared" si="1"/>
        <v>0</v>
      </c>
      <c r="G72">
        <f t="shared" si="1"/>
        <v>0</v>
      </c>
    </row>
    <row r="73" spans="2:7" ht="64" x14ac:dyDescent="0.2">
      <c r="B73" s="3" t="s">
        <v>4408</v>
      </c>
      <c r="C73" t="s">
        <v>4409</v>
      </c>
      <c r="D73"/>
      <c r="F73">
        <f t="shared" si="1"/>
        <v>0</v>
      </c>
      <c r="G73">
        <f t="shared" si="1"/>
        <v>0</v>
      </c>
    </row>
    <row r="74" spans="2:7" ht="48" x14ac:dyDescent="0.2">
      <c r="B74" s="3" t="s">
        <v>4410</v>
      </c>
      <c r="C74" t="s">
        <v>4411</v>
      </c>
      <c r="D74"/>
      <c r="F74">
        <f t="shared" si="1"/>
        <v>0</v>
      </c>
      <c r="G74">
        <f t="shared" si="1"/>
        <v>0</v>
      </c>
    </row>
    <row r="75" spans="2:7" ht="32" x14ac:dyDescent="0.2">
      <c r="B75" s="3" t="s">
        <v>4412</v>
      </c>
      <c r="C75" t="s">
        <v>4413</v>
      </c>
      <c r="D75"/>
      <c r="F75">
        <f t="shared" si="1"/>
        <v>0</v>
      </c>
      <c r="G75">
        <f t="shared" si="1"/>
        <v>0</v>
      </c>
    </row>
    <row r="76" spans="2:7" ht="48" x14ac:dyDescent="0.2">
      <c r="B76" s="3" t="s">
        <v>4414</v>
      </c>
      <c r="C76" t="s">
        <v>3978</v>
      </c>
      <c r="D76"/>
      <c r="F76">
        <f t="shared" si="1"/>
        <v>0</v>
      </c>
      <c r="G76">
        <f t="shared" si="1"/>
        <v>0</v>
      </c>
    </row>
    <row r="77" spans="2:7" ht="32" x14ac:dyDescent="0.2">
      <c r="B77" s="3" t="s">
        <v>4415</v>
      </c>
      <c r="C77" t="s">
        <v>11</v>
      </c>
      <c r="D77"/>
      <c r="F77">
        <f t="shared" si="1"/>
        <v>0</v>
      </c>
      <c r="G77">
        <f t="shared" si="1"/>
        <v>0</v>
      </c>
    </row>
    <row r="78" spans="2:7" ht="48" x14ac:dyDescent="0.2">
      <c r="B78" s="3" t="s">
        <v>4416</v>
      </c>
      <c r="C78" t="s">
        <v>4417</v>
      </c>
      <c r="D78"/>
      <c r="F78">
        <f t="shared" si="1"/>
        <v>0</v>
      </c>
      <c r="G78">
        <f t="shared" si="1"/>
        <v>0</v>
      </c>
    </row>
    <row r="79" spans="2:7" ht="48" x14ac:dyDescent="0.2">
      <c r="B79" s="3" t="s">
        <v>4418</v>
      </c>
      <c r="C79" t="s">
        <v>4419</v>
      </c>
      <c r="D79"/>
      <c r="F79">
        <f t="shared" si="1"/>
        <v>0</v>
      </c>
      <c r="G79">
        <f t="shared" si="1"/>
        <v>0</v>
      </c>
    </row>
    <row r="80" spans="2:7" ht="48" x14ac:dyDescent="0.2">
      <c r="B80" s="3" t="s">
        <v>4420</v>
      </c>
      <c r="C80" t="s">
        <v>223</v>
      </c>
      <c r="D80"/>
      <c r="F80">
        <f t="shared" si="1"/>
        <v>0</v>
      </c>
      <c r="G80">
        <f t="shared" si="1"/>
        <v>0</v>
      </c>
    </row>
    <row r="81" spans="2:7" ht="48" x14ac:dyDescent="0.2">
      <c r="B81" s="3" t="s">
        <v>4421</v>
      </c>
      <c r="C81" t="s">
        <v>3496</v>
      </c>
      <c r="D81"/>
      <c r="F81">
        <f t="shared" si="1"/>
        <v>0</v>
      </c>
      <c r="G81">
        <f t="shared" si="1"/>
        <v>0</v>
      </c>
    </row>
    <row r="82" spans="2:7" ht="48" x14ac:dyDescent="0.2">
      <c r="B82" s="3" t="s">
        <v>4422</v>
      </c>
      <c r="C82" t="s">
        <v>415</v>
      </c>
      <c r="D82" t="s">
        <v>1020</v>
      </c>
      <c r="F82">
        <f t="shared" si="1"/>
        <v>1</v>
      </c>
      <c r="G82">
        <f t="shared" si="1"/>
        <v>0</v>
      </c>
    </row>
    <row r="83" spans="2:7" ht="48" x14ac:dyDescent="0.2">
      <c r="B83" s="3" t="s">
        <v>4423</v>
      </c>
      <c r="C83" t="s">
        <v>2924</v>
      </c>
      <c r="D83"/>
      <c r="F83">
        <f t="shared" si="1"/>
        <v>0</v>
      </c>
      <c r="G83">
        <f t="shared" si="1"/>
        <v>0</v>
      </c>
    </row>
    <row r="84" spans="2:7" ht="48" x14ac:dyDescent="0.2">
      <c r="B84" s="3" t="s">
        <v>4424</v>
      </c>
      <c r="C84" t="s">
        <v>4425</v>
      </c>
      <c r="D84"/>
      <c r="E84" t="s">
        <v>48</v>
      </c>
      <c r="F84">
        <f t="shared" si="1"/>
        <v>0</v>
      </c>
      <c r="G84">
        <f t="shared" si="1"/>
        <v>1</v>
      </c>
    </row>
    <row r="85" spans="2:7" ht="32" x14ac:dyDescent="0.2">
      <c r="B85" s="3" t="s">
        <v>4426</v>
      </c>
      <c r="C85" t="s">
        <v>4427</v>
      </c>
      <c r="D85"/>
      <c r="F85">
        <f t="shared" si="1"/>
        <v>0</v>
      </c>
      <c r="G85">
        <f t="shared" si="1"/>
        <v>0</v>
      </c>
    </row>
    <row r="86" spans="2:7" ht="48" x14ac:dyDescent="0.2">
      <c r="B86" s="3" t="s">
        <v>4428</v>
      </c>
      <c r="C86" t="s">
        <v>37</v>
      </c>
      <c r="D86"/>
      <c r="F86">
        <f t="shared" si="1"/>
        <v>0</v>
      </c>
      <c r="G86">
        <f t="shared" si="1"/>
        <v>0</v>
      </c>
    </row>
    <row r="87" spans="2:7" ht="48" x14ac:dyDescent="0.2">
      <c r="B87" s="3" t="s">
        <v>4429</v>
      </c>
      <c r="C87" t="s">
        <v>5</v>
      </c>
      <c r="D87"/>
      <c r="F87">
        <f t="shared" si="1"/>
        <v>0</v>
      </c>
      <c r="G87">
        <f t="shared" si="1"/>
        <v>0</v>
      </c>
    </row>
    <row r="88" spans="2:7" ht="32" x14ac:dyDescent="0.2">
      <c r="B88" s="3" t="s">
        <v>4430</v>
      </c>
      <c r="C88" t="s">
        <v>4431</v>
      </c>
      <c r="D88"/>
      <c r="F88">
        <f t="shared" si="1"/>
        <v>0</v>
      </c>
      <c r="G88">
        <f t="shared" si="1"/>
        <v>0</v>
      </c>
    </row>
    <row r="89" spans="2:7" ht="48" x14ac:dyDescent="0.2">
      <c r="B89" s="3" t="s">
        <v>4432</v>
      </c>
      <c r="C89" t="s">
        <v>4433</v>
      </c>
      <c r="D89"/>
      <c r="F89">
        <f t="shared" si="1"/>
        <v>0</v>
      </c>
      <c r="G89">
        <f t="shared" si="1"/>
        <v>0</v>
      </c>
    </row>
    <row r="90" spans="2:7" ht="48" x14ac:dyDescent="0.2">
      <c r="B90" s="3" t="s">
        <v>4434</v>
      </c>
      <c r="C90" t="s">
        <v>158</v>
      </c>
      <c r="D90"/>
      <c r="E90" t="s">
        <v>4455</v>
      </c>
      <c r="F90">
        <f t="shared" si="1"/>
        <v>0</v>
      </c>
      <c r="G90">
        <f t="shared" si="1"/>
        <v>1</v>
      </c>
    </row>
    <row r="91" spans="2:7" ht="48" x14ac:dyDescent="0.2">
      <c r="B91" s="3" t="s">
        <v>4435</v>
      </c>
      <c r="C91" t="s">
        <v>4436</v>
      </c>
      <c r="D91"/>
      <c r="F91">
        <f t="shared" si="1"/>
        <v>0</v>
      </c>
      <c r="G91">
        <f t="shared" si="1"/>
        <v>0</v>
      </c>
    </row>
    <row r="92" spans="2:7" ht="48" x14ac:dyDescent="0.2">
      <c r="B92" s="3" t="s">
        <v>4437</v>
      </c>
      <c r="C92" t="s">
        <v>4438</v>
      </c>
      <c r="D92"/>
      <c r="F92">
        <f t="shared" si="1"/>
        <v>0</v>
      </c>
      <c r="G92">
        <f t="shared" si="1"/>
        <v>0</v>
      </c>
    </row>
    <row r="93" spans="2:7" ht="48" x14ac:dyDescent="0.2">
      <c r="B93" s="3" t="s">
        <v>4439</v>
      </c>
      <c r="C93" t="s">
        <v>42</v>
      </c>
      <c r="D93"/>
      <c r="F93">
        <f t="shared" si="1"/>
        <v>0</v>
      </c>
      <c r="G93">
        <f t="shared" si="1"/>
        <v>0</v>
      </c>
    </row>
    <row r="94" spans="2:7" ht="48" x14ac:dyDescent="0.2">
      <c r="B94" s="3" t="s">
        <v>4440</v>
      </c>
      <c r="C94" t="s">
        <v>77</v>
      </c>
      <c r="D94"/>
      <c r="F94">
        <f t="shared" si="1"/>
        <v>0</v>
      </c>
      <c r="G94">
        <f t="shared" si="1"/>
        <v>0</v>
      </c>
    </row>
    <row r="95" spans="2:7" ht="48" x14ac:dyDescent="0.2">
      <c r="B95" s="3" t="s">
        <v>4441</v>
      </c>
      <c r="C95" t="s">
        <v>4442</v>
      </c>
      <c r="D95"/>
      <c r="F95">
        <f t="shared" si="1"/>
        <v>0</v>
      </c>
      <c r="G95">
        <f t="shared" si="1"/>
        <v>0</v>
      </c>
    </row>
    <row r="96" spans="2:7" ht="48" x14ac:dyDescent="0.2">
      <c r="B96" s="3" t="s">
        <v>4443</v>
      </c>
      <c r="C96" t="s">
        <v>4444</v>
      </c>
      <c r="D96"/>
      <c r="F96">
        <f t="shared" si="1"/>
        <v>0</v>
      </c>
      <c r="G96">
        <f t="shared" si="1"/>
        <v>0</v>
      </c>
    </row>
    <row r="97" spans="2:7" ht="48" x14ac:dyDescent="0.2">
      <c r="B97" s="3" t="s">
        <v>4445</v>
      </c>
      <c r="C97" t="s">
        <v>5</v>
      </c>
      <c r="D97"/>
      <c r="F97">
        <f t="shared" si="1"/>
        <v>0</v>
      </c>
      <c r="G97">
        <f t="shared" si="1"/>
        <v>0</v>
      </c>
    </row>
    <row r="98" spans="2:7" ht="48" x14ac:dyDescent="0.2">
      <c r="B98" s="3" t="s">
        <v>4446</v>
      </c>
      <c r="C98" t="s">
        <v>181</v>
      </c>
      <c r="D98"/>
      <c r="F98">
        <f t="shared" si="1"/>
        <v>0</v>
      </c>
      <c r="G98">
        <f t="shared" si="1"/>
        <v>0</v>
      </c>
    </row>
    <row r="99" spans="2:7" ht="48" x14ac:dyDescent="0.2">
      <c r="B99" s="3" t="s">
        <v>4447</v>
      </c>
      <c r="C99" t="s">
        <v>5</v>
      </c>
      <c r="D99"/>
      <c r="F99">
        <f t="shared" si="1"/>
        <v>0</v>
      </c>
      <c r="G99">
        <f t="shared" si="1"/>
        <v>0</v>
      </c>
    </row>
    <row r="100" spans="2:7" ht="48" x14ac:dyDescent="0.2">
      <c r="B100" s="3" t="s">
        <v>4448</v>
      </c>
      <c r="C100" t="s">
        <v>66</v>
      </c>
      <c r="D100"/>
      <c r="F100">
        <f t="shared" si="1"/>
        <v>0</v>
      </c>
      <c r="G100">
        <f t="shared" si="1"/>
        <v>0</v>
      </c>
    </row>
    <row r="101" spans="2:7" ht="48" x14ac:dyDescent="0.2">
      <c r="B101" s="3" t="s">
        <v>4449</v>
      </c>
      <c r="C101" t="s">
        <v>4450</v>
      </c>
      <c r="D101"/>
      <c r="F101">
        <f t="shared" si="1"/>
        <v>0</v>
      </c>
      <c r="G101">
        <f t="shared" si="1"/>
        <v>0</v>
      </c>
    </row>
    <row r="103" spans="2:7" x14ac:dyDescent="0.2">
      <c r="F103" s="10">
        <f>SUM(F2:F101)</f>
        <v>2</v>
      </c>
      <c r="G103" s="10">
        <f>SUM(G2:G101)</f>
        <v>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9CF0-819F-7E4F-96B4-323A219CD6D8}">
  <dimension ref="A1:G103"/>
  <sheetViews>
    <sheetView topLeftCell="A95" zoomScale="170" zoomScaleNormal="170" workbookViewId="0">
      <selection activeCell="D103" sqref="D103"/>
    </sheetView>
  </sheetViews>
  <sheetFormatPr baseColWidth="10" defaultRowHeight="15" x14ac:dyDescent="0.2"/>
  <cols>
    <col min="1" max="1" width="7.6640625" style="3" customWidth="1"/>
    <col min="2" max="2" width="56.1640625" style="7" customWidth="1"/>
    <col min="4" max="4" width="15.1640625" style="9" customWidth="1"/>
    <col min="5" max="5" width="13.33203125" customWidth="1"/>
  </cols>
  <sheetData>
    <row r="1" spans="1:7" ht="16" x14ac:dyDescent="0.2">
      <c r="A1" s="2" t="s">
        <v>0</v>
      </c>
      <c r="B1" s="2" t="s">
        <v>0</v>
      </c>
      <c r="C1" s="1" t="s">
        <v>1</v>
      </c>
      <c r="D1" s="8" t="s">
        <v>44</v>
      </c>
      <c r="E1" s="1" t="s">
        <v>45</v>
      </c>
      <c r="F1" s="1" t="s">
        <v>44</v>
      </c>
      <c r="G1" s="1" t="s">
        <v>45</v>
      </c>
    </row>
    <row r="2" spans="1:7" ht="48" x14ac:dyDescent="0.2">
      <c r="B2" s="3" t="s">
        <v>4456</v>
      </c>
      <c r="C2" t="s">
        <v>286</v>
      </c>
      <c r="D2"/>
      <c r="F2">
        <f>IF(D2="",0,1)</f>
        <v>0</v>
      </c>
      <c r="G2">
        <f>IF(E2="",0,1)</f>
        <v>0</v>
      </c>
    </row>
    <row r="3" spans="1:7" ht="48" x14ac:dyDescent="0.2">
      <c r="B3" s="3" t="s">
        <v>4457</v>
      </c>
      <c r="C3" t="s">
        <v>4458</v>
      </c>
      <c r="D3"/>
      <c r="F3">
        <f t="shared" ref="F3:G66" si="0">IF(D3="",0,1)</f>
        <v>0</v>
      </c>
      <c r="G3">
        <f t="shared" si="0"/>
        <v>0</v>
      </c>
    </row>
    <row r="4" spans="1:7" ht="48" x14ac:dyDescent="0.2">
      <c r="B4" s="3" t="s">
        <v>4459</v>
      </c>
      <c r="C4" t="s">
        <v>4460</v>
      </c>
      <c r="D4"/>
      <c r="F4">
        <f t="shared" si="0"/>
        <v>0</v>
      </c>
      <c r="G4">
        <f t="shared" si="0"/>
        <v>0</v>
      </c>
    </row>
    <row r="5" spans="1:7" ht="48" x14ac:dyDescent="0.2">
      <c r="B5" s="3" t="s">
        <v>4461</v>
      </c>
      <c r="C5" t="s">
        <v>2680</v>
      </c>
      <c r="D5"/>
      <c r="F5">
        <f t="shared" si="0"/>
        <v>0</v>
      </c>
      <c r="G5">
        <f t="shared" si="0"/>
        <v>0</v>
      </c>
    </row>
    <row r="6" spans="1:7" ht="48" x14ac:dyDescent="0.2">
      <c r="B6" s="3" t="s">
        <v>4462</v>
      </c>
      <c r="C6" t="s">
        <v>3871</v>
      </c>
      <c r="D6"/>
      <c r="F6">
        <f t="shared" si="0"/>
        <v>0</v>
      </c>
      <c r="G6">
        <f t="shared" si="0"/>
        <v>0</v>
      </c>
    </row>
    <row r="7" spans="1:7" ht="48" x14ac:dyDescent="0.2">
      <c r="B7" s="3" t="s">
        <v>4463</v>
      </c>
      <c r="C7" t="s">
        <v>4464</v>
      </c>
      <c r="D7"/>
      <c r="F7">
        <f t="shared" si="0"/>
        <v>0</v>
      </c>
      <c r="G7">
        <f t="shared" si="0"/>
        <v>0</v>
      </c>
    </row>
    <row r="8" spans="1:7" ht="48" x14ac:dyDescent="0.2">
      <c r="B8" s="3" t="s">
        <v>4465</v>
      </c>
      <c r="C8" t="s">
        <v>4466</v>
      </c>
      <c r="D8"/>
      <c r="F8">
        <f t="shared" si="0"/>
        <v>0</v>
      </c>
      <c r="G8">
        <f t="shared" si="0"/>
        <v>0</v>
      </c>
    </row>
    <row r="9" spans="1:7" ht="48" x14ac:dyDescent="0.2">
      <c r="B9" s="3" t="s">
        <v>4467</v>
      </c>
      <c r="C9" t="s">
        <v>3150</v>
      </c>
      <c r="D9"/>
      <c r="F9">
        <f t="shared" si="0"/>
        <v>0</v>
      </c>
      <c r="G9">
        <f t="shared" si="0"/>
        <v>0</v>
      </c>
    </row>
    <row r="10" spans="1:7" ht="48" x14ac:dyDescent="0.2">
      <c r="B10" s="3" t="s">
        <v>4468</v>
      </c>
      <c r="C10" t="s">
        <v>3462</v>
      </c>
      <c r="D10"/>
      <c r="F10">
        <f t="shared" si="0"/>
        <v>0</v>
      </c>
      <c r="G10">
        <f t="shared" si="0"/>
        <v>0</v>
      </c>
    </row>
    <row r="11" spans="1:7" ht="32" x14ac:dyDescent="0.2">
      <c r="B11" s="3" t="s">
        <v>4469</v>
      </c>
      <c r="C11" t="s">
        <v>4470</v>
      </c>
      <c r="D11"/>
      <c r="F11">
        <f t="shared" si="0"/>
        <v>0</v>
      </c>
      <c r="G11">
        <f t="shared" si="0"/>
        <v>0</v>
      </c>
    </row>
    <row r="12" spans="1:7" ht="48" x14ac:dyDescent="0.2">
      <c r="B12" s="3" t="s">
        <v>4471</v>
      </c>
      <c r="C12" t="s">
        <v>4472</v>
      </c>
      <c r="D12"/>
      <c r="F12">
        <f t="shared" si="0"/>
        <v>0</v>
      </c>
      <c r="G12">
        <f t="shared" si="0"/>
        <v>0</v>
      </c>
    </row>
    <row r="13" spans="1:7" ht="48" x14ac:dyDescent="0.2">
      <c r="B13" s="3" t="s">
        <v>4473</v>
      </c>
      <c r="C13" t="s">
        <v>82</v>
      </c>
      <c r="D13"/>
      <c r="F13">
        <f t="shared" si="0"/>
        <v>0</v>
      </c>
      <c r="G13">
        <f t="shared" si="0"/>
        <v>0</v>
      </c>
    </row>
    <row r="14" spans="1:7" ht="48" x14ac:dyDescent="0.2">
      <c r="B14" s="3" t="s">
        <v>4474</v>
      </c>
      <c r="C14" t="s">
        <v>4475</v>
      </c>
      <c r="D14"/>
      <c r="F14">
        <f t="shared" si="0"/>
        <v>0</v>
      </c>
      <c r="G14">
        <f t="shared" si="0"/>
        <v>0</v>
      </c>
    </row>
    <row r="15" spans="1:7" ht="48" x14ac:dyDescent="0.2">
      <c r="B15" s="3" t="s">
        <v>4476</v>
      </c>
      <c r="C15" t="s">
        <v>4477</v>
      </c>
      <c r="D15"/>
      <c r="F15">
        <f t="shared" si="0"/>
        <v>0</v>
      </c>
      <c r="G15">
        <f t="shared" si="0"/>
        <v>0</v>
      </c>
    </row>
    <row r="16" spans="1:7" ht="48" x14ac:dyDescent="0.2">
      <c r="B16" s="3" t="s">
        <v>4478</v>
      </c>
      <c r="C16" t="s">
        <v>4479</v>
      </c>
      <c r="D16"/>
      <c r="F16">
        <f t="shared" si="0"/>
        <v>0</v>
      </c>
      <c r="G16">
        <f t="shared" si="0"/>
        <v>0</v>
      </c>
    </row>
    <row r="17" spans="2:7" ht="48" x14ac:dyDescent="0.2">
      <c r="B17" s="3" t="s">
        <v>4480</v>
      </c>
      <c r="C17" t="s">
        <v>4481</v>
      </c>
      <c r="D17"/>
      <c r="F17">
        <f t="shared" si="0"/>
        <v>0</v>
      </c>
      <c r="G17">
        <f t="shared" si="0"/>
        <v>0</v>
      </c>
    </row>
    <row r="18" spans="2:7" ht="48" x14ac:dyDescent="0.2">
      <c r="B18" s="3" t="s">
        <v>4482</v>
      </c>
      <c r="C18" t="s">
        <v>4483</v>
      </c>
      <c r="D18"/>
      <c r="F18">
        <f t="shared" si="0"/>
        <v>0</v>
      </c>
      <c r="G18">
        <f t="shared" si="0"/>
        <v>0</v>
      </c>
    </row>
    <row r="19" spans="2:7" ht="48" x14ac:dyDescent="0.2">
      <c r="B19" s="3" t="s">
        <v>4484</v>
      </c>
      <c r="C19" t="s">
        <v>221</v>
      </c>
      <c r="D19"/>
      <c r="F19">
        <f t="shared" si="0"/>
        <v>0</v>
      </c>
      <c r="G19">
        <f t="shared" si="0"/>
        <v>0</v>
      </c>
    </row>
    <row r="20" spans="2:7" ht="48" x14ac:dyDescent="0.2">
      <c r="B20" s="3" t="s">
        <v>4485</v>
      </c>
      <c r="C20" t="s">
        <v>4486</v>
      </c>
      <c r="D20"/>
      <c r="F20">
        <f t="shared" si="0"/>
        <v>0</v>
      </c>
      <c r="G20">
        <f t="shared" si="0"/>
        <v>0</v>
      </c>
    </row>
    <row r="21" spans="2:7" ht="48" x14ac:dyDescent="0.2">
      <c r="B21" s="3" t="s">
        <v>4487</v>
      </c>
      <c r="C21" t="s">
        <v>2326</v>
      </c>
      <c r="D21"/>
      <c r="F21">
        <f t="shared" si="0"/>
        <v>0</v>
      </c>
      <c r="G21">
        <f t="shared" si="0"/>
        <v>0</v>
      </c>
    </row>
    <row r="22" spans="2:7" ht="48" x14ac:dyDescent="0.2">
      <c r="B22" s="3" t="s">
        <v>4488</v>
      </c>
      <c r="C22" t="s">
        <v>158</v>
      </c>
      <c r="D22"/>
      <c r="F22">
        <f t="shared" si="0"/>
        <v>0</v>
      </c>
      <c r="G22">
        <f t="shared" si="0"/>
        <v>0</v>
      </c>
    </row>
    <row r="23" spans="2:7" ht="48" x14ac:dyDescent="0.2">
      <c r="B23" s="3" t="s">
        <v>4489</v>
      </c>
      <c r="C23" t="s">
        <v>4490</v>
      </c>
      <c r="D23"/>
      <c r="F23">
        <f t="shared" si="0"/>
        <v>0</v>
      </c>
      <c r="G23">
        <f t="shared" si="0"/>
        <v>0</v>
      </c>
    </row>
    <row r="24" spans="2:7" ht="48" x14ac:dyDescent="0.2">
      <c r="B24" s="3" t="s">
        <v>4491</v>
      </c>
      <c r="C24" t="s">
        <v>162</v>
      </c>
      <c r="D24"/>
      <c r="F24">
        <f t="shared" si="0"/>
        <v>0</v>
      </c>
      <c r="G24">
        <f t="shared" si="0"/>
        <v>0</v>
      </c>
    </row>
    <row r="25" spans="2:7" ht="48" x14ac:dyDescent="0.2">
      <c r="B25" s="3" t="s">
        <v>4492</v>
      </c>
      <c r="C25" t="s">
        <v>658</v>
      </c>
      <c r="D25"/>
      <c r="F25">
        <f t="shared" si="0"/>
        <v>0</v>
      </c>
      <c r="G25">
        <f t="shared" si="0"/>
        <v>0</v>
      </c>
    </row>
    <row r="26" spans="2:7" ht="48" x14ac:dyDescent="0.2">
      <c r="B26" s="3" t="s">
        <v>4493</v>
      </c>
      <c r="C26" t="s">
        <v>4494</v>
      </c>
      <c r="D26"/>
      <c r="F26">
        <f t="shared" si="0"/>
        <v>0</v>
      </c>
      <c r="G26">
        <f t="shared" si="0"/>
        <v>0</v>
      </c>
    </row>
    <row r="27" spans="2:7" ht="48" x14ac:dyDescent="0.2">
      <c r="B27" s="3" t="s">
        <v>4495</v>
      </c>
      <c r="C27" t="s">
        <v>15</v>
      </c>
      <c r="D27"/>
      <c r="F27">
        <f t="shared" si="0"/>
        <v>0</v>
      </c>
      <c r="G27">
        <f t="shared" si="0"/>
        <v>0</v>
      </c>
    </row>
    <row r="28" spans="2:7" ht="48" x14ac:dyDescent="0.2">
      <c r="B28" s="3" t="s">
        <v>4496</v>
      </c>
      <c r="C28" t="s">
        <v>4497</v>
      </c>
      <c r="D28"/>
      <c r="F28">
        <f t="shared" si="0"/>
        <v>0</v>
      </c>
      <c r="G28">
        <f t="shared" si="0"/>
        <v>0</v>
      </c>
    </row>
    <row r="29" spans="2:7" ht="48" x14ac:dyDescent="0.2">
      <c r="B29" s="3" t="s">
        <v>4498</v>
      </c>
      <c r="C29" t="s">
        <v>131</v>
      </c>
      <c r="D29"/>
      <c r="F29">
        <f t="shared" si="0"/>
        <v>0</v>
      </c>
      <c r="G29">
        <f t="shared" si="0"/>
        <v>0</v>
      </c>
    </row>
    <row r="30" spans="2:7" ht="48" x14ac:dyDescent="0.2">
      <c r="B30" s="3" t="s">
        <v>4499</v>
      </c>
      <c r="C30" t="s">
        <v>4500</v>
      </c>
      <c r="D30"/>
      <c r="F30">
        <f t="shared" si="0"/>
        <v>0</v>
      </c>
      <c r="G30">
        <f t="shared" si="0"/>
        <v>0</v>
      </c>
    </row>
    <row r="31" spans="2:7" ht="48" x14ac:dyDescent="0.2">
      <c r="B31" s="3" t="s">
        <v>4501</v>
      </c>
      <c r="C31" t="s">
        <v>11</v>
      </c>
      <c r="D31"/>
      <c r="F31">
        <f t="shared" si="0"/>
        <v>0</v>
      </c>
      <c r="G31">
        <f t="shared" si="0"/>
        <v>0</v>
      </c>
    </row>
    <row r="32" spans="2:7" ht="48" x14ac:dyDescent="0.2">
      <c r="B32" s="3" t="s">
        <v>4502</v>
      </c>
      <c r="C32" t="s">
        <v>4503</v>
      </c>
      <c r="D32"/>
      <c r="F32">
        <f t="shared" si="0"/>
        <v>0</v>
      </c>
      <c r="G32">
        <f t="shared" si="0"/>
        <v>0</v>
      </c>
    </row>
    <row r="33" spans="2:7" ht="48" x14ac:dyDescent="0.2">
      <c r="B33" s="3" t="s">
        <v>4504</v>
      </c>
      <c r="C33" t="s">
        <v>2449</v>
      </c>
      <c r="D33"/>
      <c r="F33">
        <f t="shared" si="0"/>
        <v>0</v>
      </c>
      <c r="G33">
        <f t="shared" si="0"/>
        <v>0</v>
      </c>
    </row>
    <row r="34" spans="2:7" ht="48" x14ac:dyDescent="0.2">
      <c r="B34" s="3" t="s">
        <v>4505</v>
      </c>
      <c r="C34" t="s">
        <v>7</v>
      </c>
      <c r="D34"/>
      <c r="F34">
        <f t="shared" si="0"/>
        <v>0</v>
      </c>
      <c r="G34">
        <f t="shared" si="0"/>
        <v>0</v>
      </c>
    </row>
    <row r="35" spans="2:7" ht="48" x14ac:dyDescent="0.2">
      <c r="B35" s="3" t="s">
        <v>4506</v>
      </c>
      <c r="C35" t="s">
        <v>4507</v>
      </c>
      <c r="D35"/>
      <c r="F35">
        <f t="shared" si="0"/>
        <v>0</v>
      </c>
      <c r="G35">
        <f t="shared" si="0"/>
        <v>0</v>
      </c>
    </row>
    <row r="36" spans="2:7" ht="48" x14ac:dyDescent="0.2">
      <c r="B36" s="3" t="s">
        <v>4508</v>
      </c>
      <c r="C36" t="s">
        <v>20</v>
      </c>
      <c r="D36"/>
      <c r="F36">
        <f t="shared" si="0"/>
        <v>0</v>
      </c>
      <c r="G36">
        <f t="shared" si="0"/>
        <v>0</v>
      </c>
    </row>
    <row r="37" spans="2:7" ht="48" x14ac:dyDescent="0.2">
      <c r="B37" s="3" t="s">
        <v>4509</v>
      </c>
      <c r="C37" t="s">
        <v>4</v>
      </c>
      <c r="D37"/>
      <c r="F37">
        <f t="shared" si="0"/>
        <v>0</v>
      </c>
      <c r="G37">
        <f t="shared" si="0"/>
        <v>0</v>
      </c>
    </row>
    <row r="38" spans="2:7" ht="48" x14ac:dyDescent="0.2">
      <c r="B38" s="3" t="s">
        <v>4510</v>
      </c>
      <c r="C38" t="s">
        <v>204</v>
      </c>
      <c r="D38"/>
      <c r="E38" t="s">
        <v>48</v>
      </c>
      <c r="F38">
        <f t="shared" si="0"/>
        <v>0</v>
      </c>
      <c r="G38">
        <f t="shared" si="0"/>
        <v>1</v>
      </c>
    </row>
    <row r="39" spans="2:7" ht="48" x14ac:dyDescent="0.2">
      <c r="B39" s="3" t="s">
        <v>4511</v>
      </c>
      <c r="C39" t="s">
        <v>33</v>
      </c>
      <c r="D39"/>
      <c r="E39" t="s">
        <v>1022</v>
      </c>
      <c r="F39">
        <f t="shared" si="0"/>
        <v>0</v>
      </c>
      <c r="G39">
        <f t="shared" si="0"/>
        <v>1</v>
      </c>
    </row>
    <row r="40" spans="2:7" ht="48" x14ac:dyDescent="0.2">
      <c r="B40" s="3" t="s">
        <v>4512</v>
      </c>
      <c r="C40" t="s">
        <v>37</v>
      </c>
      <c r="D40"/>
      <c r="F40">
        <f t="shared" si="0"/>
        <v>0</v>
      </c>
      <c r="G40">
        <f t="shared" si="0"/>
        <v>0</v>
      </c>
    </row>
    <row r="41" spans="2:7" ht="48" x14ac:dyDescent="0.2">
      <c r="B41" s="3" t="s">
        <v>4513</v>
      </c>
      <c r="C41" t="s">
        <v>2920</v>
      </c>
      <c r="D41"/>
      <c r="F41">
        <f t="shared" si="0"/>
        <v>0</v>
      </c>
      <c r="G41">
        <f t="shared" si="0"/>
        <v>0</v>
      </c>
    </row>
    <row r="42" spans="2:7" ht="48" x14ac:dyDescent="0.2">
      <c r="B42" s="3" t="s">
        <v>4514</v>
      </c>
      <c r="C42" t="s">
        <v>132</v>
      </c>
      <c r="D42"/>
      <c r="F42">
        <f t="shared" si="0"/>
        <v>0</v>
      </c>
      <c r="G42">
        <f t="shared" si="0"/>
        <v>0</v>
      </c>
    </row>
    <row r="43" spans="2:7" ht="48" x14ac:dyDescent="0.2">
      <c r="B43" s="3" t="s">
        <v>4515</v>
      </c>
      <c r="C43" t="s">
        <v>4516</v>
      </c>
      <c r="D43"/>
      <c r="F43">
        <f t="shared" si="0"/>
        <v>0</v>
      </c>
      <c r="G43">
        <f t="shared" si="0"/>
        <v>0</v>
      </c>
    </row>
    <row r="44" spans="2:7" ht="48" x14ac:dyDescent="0.2">
      <c r="B44" s="3" t="s">
        <v>4517</v>
      </c>
      <c r="C44" t="s">
        <v>4518</v>
      </c>
      <c r="D44"/>
      <c r="F44">
        <f t="shared" si="0"/>
        <v>0</v>
      </c>
      <c r="G44">
        <f t="shared" si="0"/>
        <v>0</v>
      </c>
    </row>
    <row r="45" spans="2:7" ht="48" x14ac:dyDescent="0.2">
      <c r="B45" s="3" t="s">
        <v>4519</v>
      </c>
      <c r="C45" t="s">
        <v>4520</v>
      </c>
      <c r="D45"/>
      <c r="F45">
        <f t="shared" si="0"/>
        <v>0</v>
      </c>
      <c r="G45">
        <f t="shared" si="0"/>
        <v>0</v>
      </c>
    </row>
    <row r="46" spans="2:7" ht="48" x14ac:dyDescent="0.2">
      <c r="B46" s="3" t="s">
        <v>4521</v>
      </c>
      <c r="C46" t="s">
        <v>4522</v>
      </c>
      <c r="D46" t="s">
        <v>3910</v>
      </c>
      <c r="F46">
        <f t="shared" si="0"/>
        <v>1</v>
      </c>
      <c r="G46">
        <f t="shared" si="0"/>
        <v>0</v>
      </c>
    </row>
    <row r="47" spans="2:7" ht="48" x14ac:dyDescent="0.2">
      <c r="B47" s="3" t="s">
        <v>4523</v>
      </c>
      <c r="C47" t="s">
        <v>68</v>
      </c>
      <c r="D47"/>
      <c r="F47">
        <f t="shared" si="0"/>
        <v>0</v>
      </c>
      <c r="G47">
        <f t="shared" si="0"/>
        <v>0</v>
      </c>
    </row>
    <row r="48" spans="2:7" ht="48" x14ac:dyDescent="0.2">
      <c r="B48" s="3" t="s">
        <v>4524</v>
      </c>
      <c r="C48" t="s">
        <v>4525</v>
      </c>
      <c r="D48"/>
      <c r="F48">
        <f t="shared" si="0"/>
        <v>0</v>
      </c>
      <c r="G48">
        <f t="shared" si="0"/>
        <v>0</v>
      </c>
    </row>
    <row r="49" spans="2:7" ht="48" x14ac:dyDescent="0.2">
      <c r="B49" s="3" t="s">
        <v>4526</v>
      </c>
      <c r="C49" t="s">
        <v>37</v>
      </c>
      <c r="D49"/>
      <c r="F49">
        <f t="shared" si="0"/>
        <v>0</v>
      </c>
      <c r="G49">
        <f t="shared" si="0"/>
        <v>0</v>
      </c>
    </row>
    <row r="50" spans="2:7" ht="48" x14ac:dyDescent="0.2">
      <c r="B50" s="3" t="s">
        <v>4527</v>
      </c>
      <c r="C50" t="s">
        <v>162</v>
      </c>
      <c r="D50"/>
      <c r="F50">
        <f t="shared" si="0"/>
        <v>0</v>
      </c>
      <c r="G50">
        <f t="shared" si="0"/>
        <v>0</v>
      </c>
    </row>
    <row r="51" spans="2:7" ht="48" x14ac:dyDescent="0.2">
      <c r="B51" s="3" t="s">
        <v>4528</v>
      </c>
      <c r="C51" t="s">
        <v>3978</v>
      </c>
      <c r="D51"/>
      <c r="F51">
        <f t="shared" si="0"/>
        <v>0</v>
      </c>
      <c r="G51">
        <f t="shared" si="0"/>
        <v>0</v>
      </c>
    </row>
    <row r="52" spans="2:7" ht="48" x14ac:dyDescent="0.2">
      <c r="B52" s="3" t="s">
        <v>4529</v>
      </c>
      <c r="C52" t="s">
        <v>4530</v>
      </c>
      <c r="D52"/>
      <c r="F52">
        <f t="shared" si="0"/>
        <v>0</v>
      </c>
      <c r="G52">
        <f t="shared" si="0"/>
        <v>0</v>
      </c>
    </row>
    <row r="53" spans="2:7" ht="48" x14ac:dyDescent="0.2">
      <c r="B53" s="3" t="s">
        <v>4531</v>
      </c>
      <c r="C53" t="s">
        <v>4</v>
      </c>
      <c r="D53"/>
      <c r="F53">
        <f t="shared" si="0"/>
        <v>0</v>
      </c>
      <c r="G53">
        <f t="shared" si="0"/>
        <v>0</v>
      </c>
    </row>
    <row r="54" spans="2:7" ht="48" x14ac:dyDescent="0.2">
      <c r="B54" s="3" t="s">
        <v>4532</v>
      </c>
      <c r="C54" t="s">
        <v>4533</v>
      </c>
      <c r="D54"/>
      <c r="F54">
        <f t="shared" si="0"/>
        <v>0</v>
      </c>
      <c r="G54">
        <f t="shared" si="0"/>
        <v>0</v>
      </c>
    </row>
    <row r="55" spans="2:7" ht="48" x14ac:dyDescent="0.2">
      <c r="B55" s="3" t="s">
        <v>4534</v>
      </c>
      <c r="C55" t="s">
        <v>42</v>
      </c>
      <c r="D55"/>
      <c r="F55">
        <f t="shared" si="0"/>
        <v>0</v>
      </c>
      <c r="G55">
        <f t="shared" si="0"/>
        <v>0</v>
      </c>
    </row>
    <row r="56" spans="2:7" ht="48" x14ac:dyDescent="0.2">
      <c r="B56" s="3" t="s">
        <v>4535</v>
      </c>
      <c r="C56" t="s">
        <v>4184</v>
      </c>
      <c r="D56"/>
      <c r="F56">
        <f t="shared" si="0"/>
        <v>0</v>
      </c>
      <c r="G56">
        <f t="shared" si="0"/>
        <v>0</v>
      </c>
    </row>
    <row r="57" spans="2:7" ht="48" x14ac:dyDescent="0.2">
      <c r="B57" s="3" t="s">
        <v>4536</v>
      </c>
      <c r="C57" t="s">
        <v>6</v>
      </c>
      <c r="D57"/>
      <c r="F57">
        <f t="shared" si="0"/>
        <v>0</v>
      </c>
      <c r="G57">
        <f t="shared" si="0"/>
        <v>0</v>
      </c>
    </row>
    <row r="58" spans="2:7" ht="48" x14ac:dyDescent="0.2">
      <c r="B58" s="3" t="s">
        <v>4537</v>
      </c>
      <c r="C58" t="s">
        <v>221</v>
      </c>
      <c r="D58" t="s">
        <v>1497</v>
      </c>
      <c r="F58">
        <f t="shared" si="0"/>
        <v>1</v>
      </c>
      <c r="G58">
        <f t="shared" si="0"/>
        <v>0</v>
      </c>
    </row>
    <row r="59" spans="2:7" ht="48" x14ac:dyDescent="0.2">
      <c r="B59" s="3" t="s">
        <v>4538</v>
      </c>
      <c r="C59" t="s">
        <v>2449</v>
      </c>
      <c r="D59"/>
      <c r="F59">
        <f t="shared" si="0"/>
        <v>0</v>
      </c>
      <c r="G59">
        <f t="shared" si="0"/>
        <v>0</v>
      </c>
    </row>
    <row r="60" spans="2:7" ht="48" x14ac:dyDescent="0.2">
      <c r="B60" s="3" t="s">
        <v>4539</v>
      </c>
      <c r="C60" t="s">
        <v>3523</v>
      </c>
      <c r="D60"/>
      <c r="F60">
        <f t="shared" si="0"/>
        <v>0</v>
      </c>
      <c r="G60">
        <f t="shared" si="0"/>
        <v>0</v>
      </c>
    </row>
    <row r="61" spans="2:7" ht="48" x14ac:dyDescent="0.2">
      <c r="B61" s="3" t="s">
        <v>4540</v>
      </c>
      <c r="C61" t="s">
        <v>4541</v>
      </c>
      <c r="D61" t="s">
        <v>4452</v>
      </c>
      <c r="F61">
        <f t="shared" si="0"/>
        <v>1</v>
      </c>
      <c r="G61">
        <f t="shared" si="0"/>
        <v>0</v>
      </c>
    </row>
    <row r="62" spans="2:7" ht="48" x14ac:dyDescent="0.2">
      <c r="B62" s="3" t="s">
        <v>4542</v>
      </c>
      <c r="C62" t="s">
        <v>4543</v>
      </c>
      <c r="D62"/>
      <c r="F62">
        <f t="shared" si="0"/>
        <v>0</v>
      </c>
      <c r="G62">
        <f t="shared" si="0"/>
        <v>0</v>
      </c>
    </row>
    <row r="63" spans="2:7" ht="64" x14ac:dyDescent="0.2">
      <c r="B63" s="3" t="s">
        <v>4544</v>
      </c>
      <c r="C63" t="s">
        <v>3383</v>
      </c>
      <c r="D63"/>
      <c r="F63">
        <f t="shared" si="0"/>
        <v>0</v>
      </c>
      <c r="G63">
        <f t="shared" si="0"/>
        <v>0</v>
      </c>
    </row>
    <row r="64" spans="2:7" ht="48" x14ac:dyDescent="0.2">
      <c r="B64" s="3" t="s">
        <v>4545</v>
      </c>
      <c r="C64" t="s">
        <v>4546</v>
      </c>
      <c r="D64"/>
      <c r="F64">
        <f t="shared" si="0"/>
        <v>0</v>
      </c>
      <c r="G64">
        <f t="shared" si="0"/>
        <v>0</v>
      </c>
    </row>
    <row r="65" spans="2:7" ht="32" x14ac:dyDescent="0.2">
      <c r="B65" s="3" t="s">
        <v>4547</v>
      </c>
      <c r="C65" t="s">
        <v>2449</v>
      </c>
      <c r="D65"/>
      <c r="F65">
        <f t="shared" si="0"/>
        <v>0</v>
      </c>
      <c r="G65">
        <f t="shared" si="0"/>
        <v>0</v>
      </c>
    </row>
    <row r="66" spans="2:7" ht="48" x14ac:dyDescent="0.2">
      <c r="B66" s="3" t="s">
        <v>4548</v>
      </c>
      <c r="C66" t="s">
        <v>5</v>
      </c>
      <c r="D66"/>
      <c r="F66">
        <f t="shared" si="0"/>
        <v>0</v>
      </c>
      <c r="G66">
        <f t="shared" si="0"/>
        <v>0</v>
      </c>
    </row>
    <row r="67" spans="2:7" ht="48" x14ac:dyDescent="0.2">
      <c r="B67" s="3" t="s">
        <v>4549</v>
      </c>
      <c r="C67" t="s">
        <v>3525</v>
      </c>
      <c r="D67"/>
      <c r="F67">
        <f t="shared" ref="F67:G101" si="1">IF(D67="",0,1)</f>
        <v>0</v>
      </c>
      <c r="G67">
        <f t="shared" si="1"/>
        <v>0</v>
      </c>
    </row>
    <row r="68" spans="2:7" ht="48" x14ac:dyDescent="0.2">
      <c r="B68" s="3" t="s">
        <v>4550</v>
      </c>
      <c r="C68" t="s">
        <v>114</v>
      </c>
      <c r="D68"/>
      <c r="F68">
        <f t="shared" si="1"/>
        <v>0</v>
      </c>
      <c r="G68">
        <f t="shared" si="1"/>
        <v>0</v>
      </c>
    </row>
    <row r="69" spans="2:7" ht="48" x14ac:dyDescent="0.2">
      <c r="B69" s="3" t="s">
        <v>4551</v>
      </c>
      <c r="C69" t="s">
        <v>1373</v>
      </c>
      <c r="D69"/>
      <c r="F69">
        <f t="shared" si="1"/>
        <v>0</v>
      </c>
      <c r="G69">
        <f t="shared" si="1"/>
        <v>0</v>
      </c>
    </row>
    <row r="70" spans="2:7" ht="48" x14ac:dyDescent="0.2">
      <c r="B70" s="3" t="s">
        <v>4552</v>
      </c>
      <c r="C70" t="s">
        <v>4553</v>
      </c>
      <c r="D70"/>
      <c r="F70">
        <f t="shared" si="1"/>
        <v>0</v>
      </c>
      <c r="G70">
        <f t="shared" si="1"/>
        <v>0</v>
      </c>
    </row>
    <row r="71" spans="2:7" ht="48" x14ac:dyDescent="0.2">
      <c r="B71" s="3" t="s">
        <v>4554</v>
      </c>
      <c r="C71" t="s">
        <v>3807</v>
      </c>
      <c r="D71"/>
      <c r="F71">
        <f t="shared" si="1"/>
        <v>0</v>
      </c>
      <c r="G71">
        <f t="shared" si="1"/>
        <v>0</v>
      </c>
    </row>
    <row r="72" spans="2:7" ht="48" x14ac:dyDescent="0.2">
      <c r="B72" s="3" t="s">
        <v>4555</v>
      </c>
      <c r="C72" t="s">
        <v>111</v>
      </c>
      <c r="D72"/>
      <c r="F72">
        <f t="shared" si="1"/>
        <v>0</v>
      </c>
      <c r="G72">
        <f t="shared" si="1"/>
        <v>0</v>
      </c>
    </row>
    <row r="73" spans="2:7" ht="48" x14ac:dyDescent="0.2">
      <c r="B73" s="3" t="s">
        <v>4556</v>
      </c>
      <c r="C73" t="s">
        <v>4557</v>
      </c>
      <c r="D73"/>
      <c r="F73">
        <f t="shared" si="1"/>
        <v>0</v>
      </c>
      <c r="G73">
        <f t="shared" si="1"/>
        <v>0</v>
      </c>
    </row>
    <row r="74" spans="2:7" ht="48" x14ac:dyDescent="0.2">
      <c r="B74" s="3" t="s">
        <v>4558</v>
      </c>
      <c r="C74" t="s">
        <v>140</v>
      </c>
      <c r="D74"/>
      <c r="F74">
        <f t="shared" si="1"/>
        <v>0</v>
      </c>
      <c r="G74">
        <f t="shared" si="1"/>
        <v>0</v>
      </c>
    </row>
    <row r="75" spans="2:7" ht="48" x14ac:dyDescent="0.2">
      <c r="B75" s="3" t="s">
        <v>4559</v>
      </c>
      <c r="C75" t="s">
        <v>84</v>
      </c>
      <c r="D75"/>
      <c r="F75">
        <f t="shared" si="1"/>
        <v>0</v>
      </c>
      <c r="G75">
        <f t="shared" si="1"/>
        <v>0</v>
      </c>
    </row>
    <row r="76" spans="2:7" ht="48" x14ac:dyDescent="0.2">
      <c r="B76" s="3" t="s">
        <v>4560</v>
      </c>
      <c r="C76" t="s">
        <v>4561</v>
      </c>
      <c r="D76"/>
      <c r="F76">
        <f t="shared" si="1"/>
        <v>0</v>
      </c>
      <c r="G76">
        <f t="shared" si="1"/>
        <v>0</v>
      </c>
    </row>
    <row r="77" spans="2:7" ht="48" x14ac:dyDescent="0.2">
      <c r="B77" s="3" t="s">
        <v>4562</v>
      </c>
      <c r="C77" t="s">
        <v>4563</v>
      </c>
      <c r="D77"/>
      <c r="F77">
        <f t="shared" si="1"/>
        <v>0</v>
      </c>
      <c r="G77">
        <f t="shared" si="1"/>
        <v>0</v>
      </c>
    </row>
    <row r="78" spans="2:7" ht="48" x14ac:dyDescent="0.2">
      <c r="B78" s="3" t="s">
        <v>4564</v>
      </c>
      <c r="C78" t="s">
        <v>4565</v>
      </c>
      <c r="D78"/>
      <c r="F78">
        <f t="shared" si="1"/>
        <v>0</v>
      </c>
      <c r="G78">
        <f t="shared" si="1"/>
        <v>0</v>
      </c>
    </row>
    <row r="79" spans="2:7" ht="48" x14ac:dyDescent="0.2">
      <c r="B79" s="3" t="s">
        <v>4566</v>
      </c>
      <c r="C79" t="s">
        <v>37</v>
      </c>
      <c r="D79"/>
      <c r="F79">
        <f t="shared" si="1"/>
        <v>0</v>
      </c>
      <c r="G79">
        <f t="shared" si="1"/>
        <v>0</v>
      </c>
    </row>
    <row r="80" spans="2:7" ht="48" x14ac:dyDescent="0.2">
      <c r="B80" s="3" t="s">
        <v>4567</v>
      </c>
      <c r="C80" t="s">
        <v>4568</v>
      </c>
      <c r="D80"/>
      <c r="F80">
        <f t="shared" si="1"/>
        <v>0</v>
      </c>
      <c r="G80">
        <f t="shared" si="1"/>
        <v>0</v>
      </c>
    </row>
    <row r="81" spans="2:7" ht="48" x14ac:dyDescent="0.2">
      <c r="B81" s="3" t="s">
        <v>4569</v>
      </c>
      <c r="C81" t="s">
        <v>103</v>
      </c>
      <c r="D81"/>
      <c r="F81">
        <f t="shared" si="1"/>
        <v>0</v>
      </c>
      <c r="G81">
        <f t="shared" si="1"/>
        <v>0</v>
      </c>
    </row>
    <row r="82" spans="2:7" ht="48" x14ac:dyDescent="0.2">
      <c r="B82" s="3" t="s">
        <v>4570</v>
      </c>
      <c r="C82" t="s">
        <v>188</v>
      </c>
      <c r="D82"/>
      <c r="F82">
        <f t="shared" si="1"/>
        <v>0</v>
      </c>
      <c r="G82">
        <f t="shared" si="1"/>
        <v>0</v>
      </c>
    </row>
    <row r="83" spans="2:7" ht="48" x14ac:dyDescent="0.2">
      <c r="B83" s="3" t="s">
        <v>4571</v>
      </c>
      <c r="C83" t="s">
        <v>4572</v>
      </c>
      <c r="D83"/>
      <c r="F83">
        <f t="shared" si="1"/>
        <v>0</v>
      </c>
      <c r="G83">
        <f t="shared" si="1"/>
        <v>0</v>
      </c>
    </row>
    <row r="84" spans="2:7" ht="48" x14ac:dyDescent="0.2">
      <c r="B84" s="3" t="s">
        <v>4573</v>
      </c>
      <c r="C84" t="s">
        <v>1602</v>
      </c>
      <c r="D84"/>
      <c r="F84">
        <f t="shared" si="1"/>
        <v>0</v>
      </c>
      <c r="G84">
        <f t="shared" si="1"/>
        <v>0</v>
      </c>
    </row>
    <row r="85" spans="2:7" ht="48" x14ac:dyDescent="0.2">
      <c r="B85" s="3" t="s">
        <v>4574</v>
      </c>
      <c r="C85" t="s">
        <v>247</v>
      </c>
      <c r="D85"/>
      <c r="F85">
        <f t="shared" si="1"/>
        <v>0</v>
      </c>
      <c r="G85">
        <f t="shared" si="1"/>
        <v>0</v>
      </c>
    </row>
    <row r="86" spans="2:7" ht="48" x14ac:dyDescent="0.2">
      <c r="B86" s="3" t="s">
        <v>4575</v>
      </c>
      <c r="C86" t="s">
        <v>4576</v>
      </c>
      <c r="D86"/>
      <c r="F86">
        <f t="shared" si="1"/>
        <v>0</v>
      </c>
      <c r="G86">
        <f t="shared" si="1"/>
        <v>0</v>
      </c>
    </row>
    <row r="87" spans="2:7" ht="32" x14ac:dyDescent="0.2">
      <c r="B87" s="3" t="s">
        <v>4577</v>
      </c>
      <c r="C87" t="s">
        <v>26</v>
      </c>
      <c r="D87"/>
      <c r="F87">
        <f t="shared" si="1"/>
        <v>0</v>
      </c>
      <c r="G87">
        <f t="shared" si="1"/>
        <v>0</v>
      </c>
    </row>
    <row r="88" spans="2:7" ht="32" x14ac:dyDescent="0.2">
      <c r="B88" s="3" t="s">
        <v>4578</v>
      </c>
      <c r="C88" t="s">
        <v>4579</v>
      </c>
      <c r="D88"/>
      <c r="F88">
        <f t="shared" si="1"/>
        <v>0</v>
      </c>
      <c r="G88">
        <f t="shared" si="1"/>
        <v>0</v>
      </c>
    </row>
    <row r="89" spans="2:7" ht="48" x14ac:dyDescent="0.2">
      <c r="B89" s="3" t="s">
        <v>4580</v>
      </c>
      <c r="C89" t="s">
        <v>4581</v>
      </c>
      <c r="D89"/>
      <c r="F89">
        <f t="shared" si="1"/>
        <v>0</v>
      </c>
      <c r="G89">
        <f t="shared" si="1"/>
        <v>0</v>
      </c>
    </row>
    <row r="90" spans="2:7" ht="48" x14ac:dyDescent="0.2">
      <c r="B90" s="3" t="s">
        <v>4582</v>
      </c>
      <c r="C90" t="s">
        <v>20</v>
      </c>
      <c r="D90"/>
      <c r="F90">
        <f t="shared" si="1"/>
        <v>0</v>
      </c>
      <c r="G90">
        <f t="shared" si="1"/>
        <v>0</v>
      </c>
    </row>
    <row r="91" spans="2:7" ht="32" x14ac:dyDescent="0.2">
      <c r="B91" s="3" t="s">
        <v>4583</v>
      </c>
      <c r="C91" t="s">
        <v>403</v>
      </c>
      <c r="D91" t="s">
        <v>4453</v>
      </c>
      <c r="F91">
        <f t="shared" si="1"/>
        <v>1</v>
      </c>
      <c r="G91">
        <f t="shared" si="1"/>
        <v>0</v>
      </c>
    </row>
    <row r="92" spans="2:7" ht="48" x14ac:dyDescent="0.2">
      <c r="B92" s="3" t="s">
        <v>4584</v>
      </c>
      <c r="C92" t="s">
        <v>22</v>
      </c>
      <c r="D92"/>
      <c r="E92" t="s">
        <v>1022</v>
      </c>
      <c r="F92">
        <f t="shared" si="1"/>
        <v>0</v>
      </c>
      <c r="G92">
        <f t="shared" si="1"/>
        <v>1</v>
      </c>
    </row>
    <row r="93" spans="2:7" ht="32" x14ac:dyDescent="0.2">
      <c r="B93" s="3" t="s">
        <v>4585</v>
      </c>
      <c r="C93" t="s">
        <v>269</v>
      </c>
      <c r="D93"/>
      <c r="F93">
        <f t="shared" si="1"/>
        <v>0</v>
      </c>
      <c r="G93">
        <f t="shared" si="1"/>
        <v>0</v>
      </c>
    </row>
    <row r="94" spans="2:7" ht="48" x14ac:dyDescent="0.2">
      <c r="B94" s="3" t="s">
        <v>4586</v>
      </c>
      <c r="C94" t="s">
        <v>4587</v>
      </c>
      <c r="D94"/>
      <c r="F94">
        <f t="shared" si="1"/>
        <v>0</v>
      </c>
      <c r="G94">
        <f t="shared" si="1"/>
        <v>0</v>
      </c>
    </row>
    <row r="95" spans="2:7" ht="48" x14ac:dyDescent="0.2">
      <c r="B95" s="3" t="s">
        <v>4588</v>
      </c>
      <c r="C95" t="s">
        <v>4589</v>
      </c>
      <c r="D95"/>
      <c r="F95">
        <f t="shared" si="1"/>
        <v>0</v>
      </c>
      <c r="G95">
        <f t="shared" si="1"/>
        <v>0</v>
      </c>
    </row>
    <row r="96" spans="2:7" ht="48" x14ac:dyDescent="0.2">
      <c r="B96" s="3" t="s">
        <v>4590</v>
      </c>
      <c r="C96" t="s">
        <v>3643</v>
      </c>
      <c r="D96"/>
      <c r="F96">
        <f t="shared" si="1"/>
        <v>0</v>
      </c>
      <c r="G96">
        <f t="shared" si="1"/>
        <v>0</v>
      </c>
    </row>
    <row r="97" spans="2:7" ht="64" x14ac:dyDescent="0.2">
      <c r="B97" s="3" t="s">
        <v>4591</v>
      </c>
      <c r="C97" t="s">
        <v>4592</v>
      </c>
      <c r="D97"/>
      <c r="F97">
        <f t="shared" si="1"/>
        <v>0</v>
      </c>
      <c r="G97">
        <f t="shared" si="1"/>
        <v>0</v>
      </c>
    </row>
    <row r="98" spans="2:7" ht="48" x14ac:dyDescent="0.2">
      <c r="B98" s="3" t="s">
        <v>4593</v>
      </c>
      <c r="C98" t="s">
        <v>3892</v>
      </c>
      <c r="D98"/>
      <c r="F98">
        <f t="shared" si="1"/>
        <v>0</v>
      </c>
      <c r="G98">
        <f t="shared" si="1"/>
        <v>0</v>
      </c>
    </row>
    <row r="99" spans="2:7" ht="48" x14ac:dyDescent="0.2">
      <c r="B99" s="3" t="s">
        <v>4594</v>
      </c>
      <c r="C99" t="s">
        <v>70</v>
      </c>
      <c r="D99"/>
      <c r="F99">
        <f t="shared" si="1"/>
        <v>0</v>
      </c>
      <c r="G99">
        <f t="shared" si="1"/>
        <v>0</v>
      </c>
    </row>
    <row r="100" spans="2:7" ht="48" x14ac:dyDescent="0.2">
      <c r="B100" s="3" t="s">
        <v>4595</v>
      </c>
      <c r="C100" t="s">
        <v>4596</v>
      </c>
      <c r="D100"/>
      <c r="F100">
        <f t="shared" si="1"/>
        <v>0</v>
      </c>
      <c r="G100">
        <f t="shared" si="1"/>
        <v>0</v>
      </c>
    </row>
    <row r="101" spans="2:7" ht="48" x14ac:dyDescent="0.2">
      <c r="B101" s="3" t="s">
        <v>4597</v>
      </c>
      <c r="C101" t="s">
        <v>66</v>
      </c>
      <c r="D101"/>
      <c r="F101">
        <f t="shared" si="1"/>
        <v>0</v>
      </c>
      <c r="G101">
        <f t="shared" si="1"/>
        <v>0</v>
      </c>
    </row>
    <row r="103" spans="2:7" x14ac:dyDescent="0.2">
      <c r="F103" s="10">
        <f>SUM(F2:F101)</f>
        <v>4</v>
      </c>
      <c r="G103" s="10">
        <f>SUM(G2:G101)</f>
        <v>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41166-FD24-5C41-A135-998AAEAFB853}">
  <dimension ref="A1:G103"/>
  <sheetViews>
    <sheetView topLeftCell="A94" zoomScale="170" zoomScaleNormal="170" workbookViewId="0">
      <selection activeCell="D102" sqref="D102"/>
    </sheetView>
  </sheetViews>
  <sheetFormatPr baseColWidth="10" defaultRowHeight="15" x14ac:dyDescent="0.2"/>
  <cols>
    <col min="1" max="1" width="5.6640625" style="3" customWidth="1"/>
    <col min="2" max="2" width="56.1640625" style="7" customWidth="1"/>
    <col min="4" max="4" width="15.1640625" style="9" customWidth="1"/>
    <col min="5" max="5" width="13.33203125" customWidth="1"/>
  </cols>
  <sheetData>
    <row r="1" spans="1:7" ht="16" x14ac:dyDescent="0.2">
      <c r="A1" s="2" t="s">
        <v>0</v>
      </c>
      <c r="B1" s="2" t="s">
        <v>0</v>
      </c>
      <c r="C1" s="1" t="s">
        <v>1</v>
      </c>
      <c r="D1" s="8" t="s">
        <v>44</v>
      </c>
      <c r="E1" s="1" t="s">
        <v>45</v>
      </c>
      <c r="F1" s="1" t="s">
        <v>44</v>
      </c>
      <c r="G1" s="1" t="s">
        <v>45</v>
      </c>
    </row>
    <row r="2" spans="1:7" ht="48" x14ac:dyDescent="0.2">
      <c r="B2" s="3" t="s">
        <v>4598</v>
      </c>
      <c r="C2" t="s">
        <v>4108</v>
      </c>
      <c r="D2"/>
      <c r="F2">
        <f>IF(D2="",0,1)</f>
        <v>0</v>
      </c>
      <c r="G2">
        <f>IF(E2="",0,1)</f>
        <v>0</v>
      </c>
    </row>
    <row r="3" spans="1:7" ht="48" x14ac:dyDescent="0.2">
      <c r="B3" s="3" t="s">
        <v>4599</v>
      </c>
      <c r="C3" t="s">
        <v>4600</v>
      </c>
      <c r="D3"/>
      <c r="F3">
        <f t="shared" ref="F3:G66" si="0">IF(D3="",0,1)</f>
        <v>0</v>
      </c>
      <c r="G3">
        <f t="shared" si="0"/>
        <v>0</v>
      </c>
    </row>
    <row r="4" spans="1:7" ht="48" x14ac:dyDescent="0.2">
      <c r="B4" s="3" t="s">
        <v>4601</v>
      </c>
      <c r="C4" t="s">
        <v>245</v>
      </c>
      <c r="D4"/>
      <c r="F4">
        <f t="shared" si="0"/>
        <v>0</v>
      </c>
      <c r="G4">
        <f t="shared" si="0"/>
        <v>0</v>
      </c>
    </row>
    <row r="5" spans="1:7" ht="32" x14ac:dyDescent="0.2">
      <c r="B5" s="3" t="s">
        <v>4602</v>
      </c>
      <c r="C5" t="s">
        <v>4603</v>
      </c>
      <c r="D5" t="s">
        <v>196</v>
      </c>
      <c r="F5">
        <f t="shared" si="0"/>
        <v>1</v>
      </c>
      <c r="G5">
        <f t="shared" si="0"/>
        <v>0</v>
      </c>
    </row>
    <row r="6" spans="1:7" ht="48" x14ac:dyDescent="0.2">
      <c r="B6" s="3" t="s">
        <v>4604</v>
      </c>
      <c r="C6" t="s">
        <v>297</v>
      </c>
      <c r="D6"/>
      <c r="F6">
        <f t="shared" si="0"/>
        <v>0</v>
      </c>
      <c r="G6">
        <f t="shared" si="0"/>
        <v>0</v>
      </c>
    </row>
    <row r="7" spans="1:7" ht="48" x14ac:dyDescent="0.2">
      <c r="B7" s="3" t="s">
        <v>4605</v>
      </c>
      <c r="C7" t="s">
        <v>4606</v>
      </c>
      <c r="D7"/>
      <c r="F7">
        <f t="shared" si="0"/>
        <v>0</v>
      </c>
      <c r="G7">
        <f t="shared" si="0"/>
        <v>0</v>
      </c>
    </row>
    <row r="8" spans="1:7" ht="48" x14ac:dyDescent="0.2">
      <c r="B8" s="3" t="s">
        <v>4607</v>
      </c>
      <c r="C8" t="s">
        <v>62</v>
      </c>
      <c r="D8"/>
      <c r="F8">
        <f t="shared" si="0"/>
        <v>0</v>
      </c>
      <c r="G8">
        <f t="shared" si="0"/>
        <v>0</v>
      </c>
    </row>
    <row r="9" spans="1:7" ht="48" x14ac:dyDescent="0.2">
      <c r="B9" s="3" t="s">
        <v>4608</v>
      </c>
      <c r="C9" t="s">
        <v>4609</v>
      </c>
      <c r="D9"/>
      <c r="F9">
        <f t="shared" si="0"/>
        <v>0</v>
      </c>
      <c r="G9">
        <f t="shared" si="0"/>
        <v>0</v>
      </c>
    </row>
    <row r="10" spans="1:7" ht="48" x14ac:dyDescent="0.2">
      <c r="B10" s="3" t="s">
        <v>4610</v>
      </c>
      <c r="C10" t="s">
        <v>3853</v>
      </c>
      <c r="D10"/>
      <c r="F10">
        <f t="shared" si="0"/>
        <v>0</v>
      </c>
      <c r="G10">
        <f t="shared" si="0"/>
        <v>0</v>
      </c>
    </row>
    <row r="11" spans="1:7" ht="48" x14ac:dyDescent="0.2">
      <c r="B11" s="3" t="s">
        <v>4611</v>
      </c>
      <c r="C11" t="s">
        <v>4612</v>
      </c>
      <c r="D11"/>
      <c r="F11">
        <f t="shared" si="0"/>
        <v>0</v>
      </c>
      <c r="G11">
        <f t="shared" si="0"/>
        <v>0</v>
      </c>
    </row>
    <row r="12" spans="1:7" ht="32" x14ac:dyDescent="0.2">
      <c r="B12" s="3" t="s">
        <v>4613</v>
      </c>
      <c r="C12" t="s">
        <v>192</v>
      </c>
      <c r="D12"/>
      <c r="F12">
        <f t="shared" si="0"/>
        <v>0</v>
      </c>
      <c r="G12">
        <f t="shared" si="0"/>
        <v>0</v>
      </c>
    </row>
    <row r="13" spans="1:7" ht="32" x14ac:dyDescent="0.2">
      <c r="B13" s="3" t="s">
        <v>4614</v>
      </c>
      <c r="C13" t="s">
        <v>2694</v>
      </c>
      <c r="D13"/>
      <c r="F13">
        <f t="shared" si="0"/>
        <v>0</v>
      </c>
      <c r="G13">
        <f t="shared" si="0"/>
        <v>0</v>
      </c>
    </row>
    <row r="14" spans="1:7" ht="48" x14ac:dyDescent="0.2">
      <c r="B14" s="3" t="s">
        <v>4615</v>
      </c>
      <c r="C14" t="s">
        <v>4616</v>
      </c>
      <c r="D14" t="s">
        <v>196</v>
      </c>
      <c r="F14">
        <f t="shared" si="0"/>
        <v>1</v>
      </c>
      <c r="G14">
        <f t="shared" si="0"/>
        <v>0</v>
      </c>
    </row>
    <row r="15" spans="1:7" ht="48" x14ac:dyDescent="0.2">
      <c r="B15" s="3" t="s">
        <v>4617</v>
      </c>
      <c r="C15" t="s">
        <v>17</v>
      </c>
      <c r="D15"/>
      <c r="F15">
        <f t="shared" si="0"/>
        <v>0</v>
      </c>
      <c r="G15">
        <f t="shared" si="0"/>
        <v>0</v>
      </c>
    </row>
    <row r="16" spans="1:7" ht="48" x14ac:dyDescent="0.2">
      <c r="B16" s="3" t="s">
        <v>4618</v>
      </c>
      <c r="C16" t="s">
        <v>4619</v>
      </c>
      <c r="D16"/>
      <c r="F16">
        <f t="shared" si="0"/>
        <v>0</v>
      </c>
      <c r="G16">
        <f t="shared" si="0"/>
        <v>0</v>
      </c>
    </row>
    <row r="17" spans="2:7" ht="48" x14ac:dyDescent="0.2">
      <c r="B17" s="3" t="s">
        <v>4620</v>
      </c>
      <c r="C17" t="s">
        <v>4621</v>
      </c>
      <c r="D17"/>
      <c r="F17">
        <f t="shared" si="0"/>
        <v>0</v>
      </c>
      <c r="G17">
        <f t="shared" si="0"/>
        <v>0</v>
      </c>
    </row>
    <row r="18" spans="2:7" ht="48" x14ac:dyDescent="0.2">
      <c r="B18" s="3" t="s">
        <v>4622</v>
      </c>
      <c r="C18" t="s">
        <v>4623</v>
      </c>
      <c r="D18"/>
      <c r="F18">
        <f t="shared" si="0"/>
        <v>0</v>
      </c>
      <c r="G18">
        <f t="shared" si="0"/>
        <v>0</v>
      </c>
    </row>
    <row r="19" spans="2:7" ht="48" x14ac:dyDescent="0.2">
      <c r="B19" s="3" t="s">
        <v>4624</v>
      </c>
      <c r="C19" t="s">
        <v>15</v>
      </c>
      <c r="D19"/>
      <c r="F19">
        <f t="shared" si="0"/>
        <v>0</v>
      </c>
      <c r="G19">
        <f t="shared" si="0"/>
        <v>0</v>
      </c>
    </row>
    <row r="20" spans="2:7" ht="48" x14ac:dyDescent="0.2">
      <c r="B20" s="3" t="s">
        <v>4625</v>
      </c>
      <c r="C20" t="s">
        <v>20</v>
      </c>
      <c r="D20"/>
      <c r="F20">
        <f t="shared" si="0"/>
        <v>0</v>
      </c>
      <c r="G20">
        <f t="shared" si="0"/>
        <v>0</v>
      </c>
    </row>
    <row r="21" spans="2:7" ht="32" x14ac:dyDescent="0.2">
      <c r="B21" s="3" t="s">
        <v>4626</v>
      </c>
      <c r="C21" t="s">
        <v>4627</v>
      </c>
      <c r="D21"/>
      <c r="F21">
        <f t="shared" si="0"/>
        <v>0</v>
      </c>
      <c r="G21">
        <f t="shared" si="0"/>
        <v>0</v>
      </c>
    </row>
    <row r="22" spans="2:7" ht="48" x14ac:dyDescent="0.2">
      <c r="B22" s="3" t="s">
        <v>4628</v>
      </c>
      <c r="C22" t="s">
        <v>4629</v>
      </c>
      <c r="D22"/>
      <c r="F22">
        <f t="shared" si="0"/>
        <v>0</v>
      </c>
      <c r="G22">
        <f t="shared" si="0"/>
        <v>0</v>
      </c>
    </row>
    <row r="23" spans="2:7" ht="48" x14ac:dyDescent="0.2">
      <c r="B23" s="3" t="s">
        <v>4630</v>
      </c>
      <c r="C23" t="s">
        <v>4631</v>
      </c>
      <c r="D23"/>
      <c r="F23">
        <f t="shared" si="0"/>
        <v>0</v>
      </c>
      <c r="G23">
        <f t="shared" si="0"/>
        <v>0</v>
      </c>
    </row>
    <row r="24" spans="2:7" ht="48" x14ac:dyDescent="0.2">
      <c r="B24" s="3" t="s">
        <v>4632</v>
      </c>
      <c r="C24" t="s">
        <v>4633</v>
      </c>
      <c r="D24"/>
      <c r="F24">
        <f t="shared" si="0"/>
        <v>0</v>
      </c>
      <c r="G24">
        <f t="shared" si="0"/>
        <v>0</v>
      </c>
    </row>
    <row r="25" spans="2:7" ht="48" x14ac:dyDescent="0.2">
      <c r="B25" s="3" t="s">
        <v>4634</v>
      </c>
      <c r="C25" t="s">
        <v>286</v>
      </c>
      <c r="D25"/>
      <c r="F25">
        <f t="shared" si="0"/>
        <v>0</v>
      </c>
      <c r="G25">
        <f t="shared" si="0"/>
        <v>0</v>
      </c>
    </row>
    <row r="26" spans="2:7" ht="32" x14ac:dyDescent="0.2">
      <c r="B26" s="3" t="s">
        <v>4635</v>
      </c>
      <c r="C26" t="s">
        <v>4636</v>
      </c>
      <c r="D26"/>
      <c r="F26">
        <f t="shared" si="0"/>
        <v>0</v>
      </c>
      <c r="G26">
        <f t="shared" si="0"/>
        <v>0</v>
      </c>
    </row>
    <row r="27" spans="2:7" ht="48" x14ac:dyDescent="0.2">
      <c r="B27" s="3" t="s">
        <v>4637</v>
      </c>
      <c r="C27" t="s">
        <v>79</v>
      </c>
      <c r="D27"/>
      <c r="F27">
        <f t="shared" si="0"/>
        <v>0</v>
      </c>
      <c r="G27">
        <f t="shared" si="0"/>
        <v>0</v>
      </c>
    </row>
    <row r="28" spans="2:7" ht="32" x14ac:dyDescent="0.2">
      <c r="B28" s="3" t="s">
        <v>4638</v>
      </c>
      <c r="C28" t="s">
        <v>125</v>
      </c>
      <c r="D28"/>
      <c r="F28">
        <f t="shared" si="0"/>
        <v>0</v>
      </c>
      <c r="G28">
        <f t="shared" si="0"/>
        <v>0</v>
      </c>
    </row>
    <row r="29" spans="2:7" ht="48" x14ac:dyDescent="0.2">
      <c r="B29" s="3" t="s">
        <v>4639</v>
      </c>
      <c r="C29" t="s">
        <v>67</v>
      </c>
      <c r="D29"/>
      <c r="F29">
        <f t="shared" si="0"/>
        <v>0</v>
      </c>
      <c r="G29">
        <f t="shared" si="0"/>
        <v>0</v>
      </c>
    </row>
    <row r="30" spans="2:7" ht="32" x14ac:dyDescent="0.2">
      <c r="B30" s="3" t="s">
        <v>4640</v>
      </c>
      <c r="C30" t="s">
        <v>183</v>
      </c>
      <c r="D30"/>
      <c r="F30">
        <f t="shared" si="0"/>
        <v>0</v>
      </c>
      <c r="G30">
        <f t="shared" si="0"/>
        <v>0</v>
      </c>
    </row>
    <row r="31" spans="2:7" ht="48" x14ac:dyDescent="0.2">
      <c r="B31" s="3" t="s">
        <v>4641</v>
      </c>
      <c r="C31" t="s">
        <v>4642</v>
      </c>
      <c r="D31"/>
      <c r="F31">
        <f t="shared" si="0"/>
        <v>0</v>
      </c>
      <c r="G31">
        <f t="shared" si="0"/>
        <v>0</v>
      </c>
    </row>
    <row r="32" spans="2:7" ht="48" x14ac:dyDescent="0.2">
      <c r="B32" s="3" t="s">
        <v>4643</v>
      </c>
      <c r="C32" t="s">
        <v>5</v>
      </c>
      <c r="D32"/>
      <c r="F32">
        <f t="shared" si="0"/>
        <v>0</v>
      </c>
      <c r="G32">
        <f t="shared" si="0"/>
        <v>0</v>
      </c>
    </row>
    <row r="33" spans="2:7" ht="48" x14ac:dyDescent="0.2">
      <c r="B33" s="3" t="s">
        <v>4644</v>
      </c>
      <c r="C33" t="s">
        <v>245</v>
      </c>
      <c r="D33"/>
      <c r="F33">
        <f t="shared" si="0"/>
        <v>0</v>
      </c>
      <c r="G33">
        <f t="shared" si="0"/>
        <v>0</v>
      </c>
    </row>
    <row r="34" spans="2:7" ht="48" x14ac:dyDescent="0.2">
      <c r="B34" s="3" t="s">
        <v>4645</v>
      </c>
      <c r="C34" t="s">
        <v>17</v>
      </c>
      <c r="D34" t="s">
        <v>790</v>
      </c>
      <c r="F34">
        <f t="shared" si="0"/>
        <v>1</v>
      </c>
      <c r="G34">
        <f t="shared" si="0"/>
        <v>0</v>
      </c>
    </row>
    <row r="35" spans="2:7" ht="48" x14ac:dyDescent="0.2">
      <c r="B35" s="3" t="s">
        <v>4646</v>
      </c>
      <c r="C35" t="s">
        <v>70</v>
      </c>
      <c r="D35"/>
      <c r="F35">
        <f t="shared" si="0"/>
        <v>0</v>
      </c>
      <c r="G35">
        <f t="shared" si="0"/>
        <v>0</v>
      </c>
    </row>
    <row r="36" spans="2:7" ht="48" x14ac:dyDescent="0.2">
      <c r="B36" s="3" t="s">
        <v>4647</v>
      </c>
      <c r="C36" t="s">
        <v>173</v>
      </c>
      <c r="D36"/>
      <c r="F36">
        <f t="shared" si="0"/>
        <v>0</v>
      </c>
      <c r="G36">
        <f t="shared" si="0"/>
        <v>0</v>
      </c>
    </row>
    <row r="37" spans="2:7" ht="48" x14ac:dyDescent="0.2">
      <c r="B37" s="3" t="s">
        <v>4648</v>
      </c>
      <c r="C37" t="s">
        <v>1150</v>
      </c>
      <c r="D37"/>
      <c r="E37" t="s">
        <v>87</v>
      </c>
      <c r="F37">
        <f t="shared" si="0"/>
        <v>0</v>
      </c>
      <c r="G37">
        <f t="shared" si="0"/>
        <v>1</v>
      </c>
    </row>
    <row r="38" spans="2:7" ht="32" x14ac:dyDescent="0.2">
      <c r="B38" s="3" t="s">
        <v>4649</v>
      </c>
      <c r="C38" t="s">
        <v>426</v>
      </c>
      <c r="D38"/>
      <c r="F38">
        <f t="shared" si="0"/>
        <v>0</v>
      </c>
      <c r="G38">
        <f t="shared" si="0"/>
        <v>0</v>
      </c>
    </row>
    <row r="39" spans="2:7" ht="48" x14ac:dyDescent="0.2">
      <c r="B39" s="3" t="s">
        <v>4650</v>
      </c>
      <c r="C39" t="s">
        <v>4651</v>
      </c>
      <c r="D39"/>
      <c r="F39">
        <f t="shared" si="0"/>
        <v>0</v>
      </c>
      <c r="G39">
        <f t="shared" si="0"/>
        <v>0</v>
      </c>
    </row>
    <row r="40" spans="2:7" ht="48" x14ac:dyDescent="0.2">
      <c r="B40" s="3" t="s">
        <v>4652</v>
      </c>
      <c r="C40" t="s">
        <v>4653</v>
      </c>
      <c r="D40" t="s">
        <v>4736</v>
      </c>
      <c r="F40">
        <f t="shared" si="0"/>
        <v>1</v>
      </c>
      <c r="G40">
        <f t="shared" si="0"/>
        <v>0</v>
      </c>
    </row>
    <row r="41" spans="2:7" ht="32" x14ac:dyDescent="0.2">
      <c r="B41" s="3" t="s">
        <v>4654</v>
      </c>
      <c r="C41" t="s">
        <v>4530</v>
      </c>
      <c r="D41"/>
      <c r="F41">
        <f t="shared" si="0"/>
        <v>0</v>
      </c>
      <c r="G41">
        <f t="shared" si="0"/>
        <v>0</v>
      </c>
    </row>
    <row r="42" spans="2:7" ht="48" x14ac:dyDescent="0.2">
      <c r="B42" s="3" t="s">
        <v>4655</v>
      </c>
      <c r="C42" t="s">
        <v>4656</v>
      </c>
      <c r="D42"/>
      <c r="F42">
        <f t="shared" si="0"/>
        <v>0</v>
      </c>
      <c r="G42">
        <f t="shared" si="0"/>
        <v>0</v>
      </c>
    </row>
    <row r="43" spans="2:7" ht="48" x14ac:dyDescent="0.2">
      <c r="B43" s="3" t="s">
        <v>4657</v>
      </c>
      <c r="C43" t="s">
        <v>69</v>
      </c>
      <c r="D43"/>
      <c r="F43">
        <f t="shared" si="0"/>
        <v>0</v>
      </c>
      <c r="G43">
        <f t="shared" si="0"/>
        <v>0</v>
      </c>
    </row>
    <row r="44" spans="2:7" ht="32" x14ac:dyDescent="0.2">
      <c r="B44" s="3" t="s">
        <v>4658</v>
      </c>
      <c r="C44" t="s">
        <v>4659</v>
      </c>
      <c r="D44"/>
      <c r="F44">
        <f t="shared" si="0"/>
        <v>0</v>
      </c>
      <c r="G44">
        <f t="shared" si="0"/>
        <v>0</v>
      </c>
    </row>
    <row r="45" spans="2:7" ht="48" x14ac:dyDescent="0.2">
      <c r="B45" s="3" t="s">
        <v>4660</v>
      </c>
      <c r="C45" t="s">
        <v>4661</v>
      </c>
      <c r="D45"/>
      <c r="F45">
        <f t="shared" si="0"/>
        <v>0</v>
      </c>
      <c r="G45">
        <f t="shared" si="0"/>
        <v>0</v>
      </c>
    </row>
    <row r="46" spans="2:7" ht="48" x14ac:dyDescent="0.2">
      <c r="B46" s="3" t="s">
        <v>4662</v>
      </c>
      <c r="C46" t="s">
        <v>1862</v>
      </c>
      <c r="D46"/>
      <c r="F46">
        <f t="shared" si="0"/>
        <v>0</v>
      </c>
      <c r="G46">
        <f t="shared" si="0"/>
        <v>0</v>
      </c>
    </row>
    <row r="47" spans="2:7" ht="48" x14ac:dyDescent="0.2">
      <c r="B47" s="3" t="s">
        <v>4663</v>
      </c>
      <c r="C47" t="s">
        <v>33</v>
      </c>
      <c r="D47"/>
      <c r="E47" t="s">
        <v>280</v>
      </c>
      <c r="F47">
        <f t="shared" si="0"/>
        <v>0</v>
      </c>
      <c r="G47">
        <f t="shared" si="0"/>
        <v>1</v>
      </c>
    </row>
    <row r="48" spans="2:7" ht="48" x14ac:dyDescent="0.2">
      <c r="B48" s="3" t="s">
        <v>4664</v>
      </c>
      <c r="C48" t="s">
        <v>23</v>
      </c>
      <c r="D48"/>
      <c r="F48">
        <f t="shared" si="0"/>
        <v>0</v>
      </c>
      <c r="G48">
        <f t="shared" si="0"/>
        <v>0</v>
      </c>
    </row>
    <row r="49" spans="2:7" ht="32" x14ac:dyDescent="0.2">
      <c r="B49" s="3" t="s">
        <v>4665</v>
      </c>
      <c r="C49" t="s">
        <v>246</v>
      </c>
      <c r="D49"/>
      <c r="F49">
        <f t="shared" si="0"/>
        <v>0</v>
      </c>
      <c r="G49">
        <f t="shared" si="0"/>
        <v>0</v>
      </c>
    </row>
    <row r="50" spans="2:7" ht="48" x14ac:dyDescent="0.2">
      <c r="B50" s="3" t="s">
        <v>4666</v>
      </c>
      <c r="C50" t="s">
        <v>122</v>
      </c>
      <c r="D50"/>
      <c r="F50">
        <f t="shared" si="0"/>
        <v>0</v>
      </c>
      <c r="G50">
        <f t="shared" si="0"/>
        <v>0</v>
      </c>
    </row>
    <row r="51" spans="2:7" ht="32" x14ac:dyDescent="0.2">
      <c r="B51" s="3" t="s">
        <v>4667</v>
      </c>
      <c r="C51" t="s">
        <v>666</v>
      </c>
      <c r="D51"/>
      <c r="F51">
        <f t="shared" si="0"/>
        <v>0</v>
      </c>
      <c r="G51">
        <f t="shared" si="0"/>
        <v>0</v>
      </c>
    </row>
    <row r="52" spans="2:7" ht="48" x14ac:dyDescent="0.2">
      <c r="B52" s="3" t="s">
        <v>4668</v>
      </c>
      <c r="C52" t="s">
        <v>4403</v>
      </c>
      <c r="D52"/>
      <c r="F52">
        <f t="shared" si="0"/>
        <v>0</v>
      </c>
      <c r="G52">
        <f t="shared" si="0"/>
        <v>0</v>
      </c>
    </row>
    <row r="53" spans="2:7" ht="48" x14ac:dyDescent="0.2">
      <c r="B53" s="3" t="s">
        <v>4669</v>
      </c>
      <c r="C53" t="s">
        <v>4670</v>
      </c>
      <c r="D53"/>
      <c r="F53">
        <f t="shared" si="0"/>
        <v>0</v>
      </c>
      <c r="G53">
        <f t="shared" si="0"/>
        <v>0</v>
      </c>
    </row>
    <row r="54" spans="2:7" ht="48" x14ac:dyDescent="0.2">
      <c r="B54" s="3" t="s">
        <v>4671</v>
      </c>
      <c r="C54" t="s">
        <v>4108</v>
      </c>
      <c r="D54"/>
      <c r="F54">
        <f t="shared" si="0"/>
        <v>0</v>
      </c>
      <c r="G54">
        <f t="shared" si="0"/>
        <v>0</v>
      </c>
    </row>
    <row r="55" spans="2:7" ht="32" x14ac:dyDescent="0.2">
      <c r="B55" s="3" t="s">
        <v>4672</v>
      </c>
      <c r="C55" t="s">
        <v>4673</v>
      </c>
      <c r="D55"/>
      <c r="F55">
        <f t="shared" si="0"/>
        <v>0</v>
      </c>
      <c r="G55">
        <f t="shared" si="0"/>
        <v>0</v>
      </c>
    </row>
    <row r="56" spans="2:7" ht="48" x14ac:dyDescent="0.2">
      <c r="B56" s="3" t="s">
        <v>4674</v>
      </c>
      <c r="C56" t="s">
        <v>4675</v>
      </c>
      <c r="D56"/>
      <c r="F56">
        <f t="shared" si="0"/>
        <v>0</v>
      </c>
      <c r="G56">
        <f t="shared" si="0"/>
        <v>0</v>
      </c>
    </row>
    <row r="57" spans="2:7" ht="48" x14ac:dyDescent="0.2">
      <c r="B57" s="3" t="s">
        <v>4676</v>
      </c>
      <c r="C57" t="s">
        <v>173</v>
      </c>
      <c r="D57"/>
      <c r="F57">
        <f t="shared" si="0"/>
        <v>0</v>
      </c>
      <c r="G57">
        <f t="shared" si="0"/>
        <v>0</v>
      </c>
    </row>
    <row r="58" spans="2:7" ht="48" x14ac:dyDescent="0.2">
      <c r="B58" s="3" t="s">
        <v>4677</v>
      </c>
      <c r="C58" t="s">
        <v>4678</v>
      </c>
      <c r="D58" t="s">
        <v>4736</v>
      </c>
      <c r="F58">
        <f t="shared" si="0"/>
        <v>1</v>
      </c>
      <c r="G58">
        <f t="shared" si="0"/>
        <v>0</v>
      </c>
    </row>
    <row r="59" spans="2:7" ht="48" x14ac:dyDescent="0.2">
      <c r="B59" s="3" t="s">
        <v>4679</v>
      </c>
      <c r="C59" t="s">
        <v>3147</v>
      </c>
      <c r="D59"/>
      <c r="F59">
        <f t="shared" si="0"/>
        <v>0</v>
      </c>
      <c r="G59">
        <f t="shared" si="0"/>
        <v>0</v>
      </c>
    </row>
    <row r="60" spans="2:7" ht="48" x14ac:dyDescent="0.2">
      <c r="B60" s="3" t="s">
        <v>4680</v>
      </c>
      <c r="C60" t="s">
        <v>84</v>
      </c>
      <c r="D60"/>
      <c r="F60">
        <f t="shared" si="0"/>
        <v>0</v>
      </c>
      <c r="G60">
        <f t="shared" si="0"/>
        <v>0</v>
      </c>
    </row>
    <row r="61" spans="2:7" ht="48" x14ac:dyDescent="0.2">
      <c r="B61" s="3" t="s">
        <v>4681</v>
      </c>
      <c r="C61" t="s">
        <v>4682</v>
      </c>
      <c r="D61"/>
      <c r="F61">
        <f t="shared" si="0"/>
        <v>0</v>
      </c>
      <c r="G61">
        <f t="shared" si="0"/>
        <v>0</v>
      </c>
    </row>
    <row r="62" spans="2:7" ht="48" x14ac:dyDescent="0.2">
      <c r="B62" s="3" t="s">
        <v>4683</v>
      </c>
      <c r="C62" t="s">
        <v>4684</v>
      </c>
      <c r="D62"/>
      <c r="F62">
        <f t="shared" si="0"/>
        <v>0</v>
      </c>
      <c r="G62">
        <f t="shared" si="0"/>
        <v>0</v>
      </c>
    </row>
    <row r="63" spans="2:7" ht="48" x14ac:dyDescent="0.2">
      <c r="B63" s="3" t="s">
        <v>4685</v>
      </c>
      <c r="C63" t="s">
        <v>3784</v>
      </c>
      <c r="D63"/>
      <c r="F63">
        <f t="shared" si="0"/>
        <v>0</v>
      </c>
      <c r="G63">
        <f t="shared" si="0"/>
        <v>0</v>
      </c>
    </row>
    <row r="64" spans="2:7" ht="48" x14ac:dyDescent="0.2">
      <c r="B64" s="3" t="s">
        <v>4686</v>
      </c>
      <c r="C64" t="s">
        <v>4</v>
      </c>
      <c r="D64"/>
      <c r="F64">
        <f t="shared" si="0"/>
        <v>0</v>
      </c>
      <c r="G64">
        <f t="shared" si="0"/>
        <v>0</v>
      </c>
    </row>
    <row r="65" spans="2:7" ht="48" x14ac:dyDescent="0.2">
      <c r="B65" s="3" t="s">
        <v>4687</v>
      </c>
      <c r="C65" t="s">
        <v>122</v>
      </c>
      <c r="D65"/>
      <c r="F65">
        <f t="shared" si="0"/>
        <v>0</v>
      </c>
      <c r="G65">
        <f t="shared" si="0"/>
        <v>0</v>
      </c>
    </row>
    <row r="66" spans="2:7" ht="32" x14ac:dyDescent="0.2">
      <c r="B66" s="3" t="s">
        <v>4688</v>
      </c>
      <c r="C66" t="s">
        <v>666</v>
      </c>
      <c r="D66"/>
      <c r="F66">
        <f t="shared" si="0"/>
        <v>0</v>
      </c>
      <c r="G66">
        <f t="shared" si="0"/>
        <v>0</v>
      </c>
    </row>
    <row r="67" spans="2:7" ht="48" x14ac:dyDescent="0.2">
      <c r="B67" s="3" t="s">
        <v>4689</v>
      </c>
      <c r="C67" t="s">
        <v>36</v>
      </c>
      <c r="D67"/>
      <c r="F67">
        <f t="shared" ref="F67:G101" si="1">IF(D67="",0,1)</f>
        <v>0</v>
      </c>
      <c r="G67">
        <f t="shared" si="1"/>
        <v>0</v>
      </c>
    </row>
    <row r="68" spans="2:7" ht="48" x14ac:dyDescent="0.2">
      <c r="B68" s="3" t="s">
        <v>4690</v>
      </c>
      <c r="C68" t="s">
        <v>4691</v>
      </c>
      <c r="D68"/>
      <c r="F68">
        <f t="shared" si="1"/>
        <v>0</v>
      </c>
      <c r="G68">
        <f t="shared" si="1"/>
        <v>0</v>
      </c>
    </row>
    <row r="69" spans="2:7" ht="48" x14ac:dyDescent="0.2">
      <c r="B69" s="3" t="s">
        <v>4692</v>
      </c>
      <c r="C69" t="s">
        <v>4403</v>
      </c>
      <c r="D69"/>
      <c r="F69">
        <f t="shared" si="1"/>
        <v>0</v>
      </c>
      <c r="G69">
        <f t="shared" si="1"/>
        <v>0</v>
      </c>
    </row>
    <row r="70" spans="2:7" ht="48" x14ac:dyDescent="0.2">
      <c r="B70" s="3" t="s">
        <v>4693</v>
      </c>
      <c r="C70" t="s">
        <v>246</v>
      </c>
      <c r="D70"/>
      <c r="F70">
        <f t="shared" si="1"/>
        <v>0</v>
      </c>
      <c r="G70">
        <f t="shared" si="1"/>
        <v>0</v>
      </c>
    </row>
    <row r="71" spans="2:7" ht="48" x14ac:dyDescent="0.2">
      <c r="B71" s="3" t="s">
        <v>4694</v>
      </c>
      <c r="C71" t="s">
        <v>4695</v>
      </c>
      <c r="D71"/>
      <c r="F71">
        <f t="shared" si="1"/>
        <v>0</v>
      </c>
      <c r="G71">
        <f t="shared" si="1"/>
        <v>0</v>
      </c>
    </row>
    <row r="72" spans="2:7" ht="32" x14ac:dyDescent="0.2">
      <c r="B72" s="3" t="s">
        <v>4696</v>
      </c>
      <c r="C72" t="s">
        <v>4697</v>
      </c>
      <c r="D72"/>
      <c r="F72">
        <f t="shared" si="1"/>
        <v>0</v>
      </c>
      <c r="G72">
        <f t="shared" si="1"/>
        <v>0</v>
      </c>
    </row>
    <row r="73" spans="2:7" ht="48" x14ac:dyDescent="0.2">
      <c r="B73" s="3" t="s">
        <v>4698</v>
      </c>
      <c r="C73" t="s">
        <v>173</v>
      </c>
      <c r="D73"/>
      <c r="F73">
        <f t="shared" si="1"/>
        <v>0</v>
      </c>
      <c r="G73">
        <f t="shared" si="1"/>
        <v>0</v>
      </c>
    </row>
    <row r="74" spans="2:7" ht="48" x14ac:dyDescent="0.2">
      <c r="B74" s="3" t="s">
        <v>4699</v>
      </c>
      <c r="C74" t="s">
        <v>423</v>
      </c>
      <c r="D74"/>
      <c r="F74">
        <f t="shared" si="1"/>
        <v>0</v>
      </c>
      <c r="G74">
        <f t="shared" si="1"/>
        <v>0</v>
      </c>
    </row>
    <row r="75" spans="2:7" ht="48" x14ac:dyDescent="0.2">
      <c r="B75" s="3" t="s">
        <v>4700</v>
      </c>
      <c r="C75" t="s">
        <v>4701</v>
      </c>
      <c r="D75"/>
      <c r="F75">
        <f t="shared" si="1"/>
        <v>0</v>
      </c>
      <c r="G75">
        <f t="shared" si="1"/>
        <v>0</v>
      </c>
    </row>
    <row r="76" spans="2:7" ht="32" x14ac:dyDescent="0.2">
      <c r="B76" s="3" t="s">
        <v>4702</v>
      </c>
      <c r="C76" t="s">
        <v>4</v>
      </c>
      <c r="D76"/>
      <c r="F76">
        <f t="shared" si="1"/>
        <v>0</v>
      </c>
      <c r="G76">
        <f t="shared" si="1"/>
        <v>0</v>
      </c>
    </row>
    <row r="77" spans="2:7" ht="48" x14ac:dyDescent="0.2">
      <c r="B77" s="3" t="s">
        <v>4703</v>
      </c>
      <c r="C77" t="s">
        <v>4359</v>
      </c>
      <c r="D77"/>
      <c r="F77">
        <f t="shared" si="1"/>
        <v>0</v>
      </c>
      <c r="G77">
        <f t="shared" si="1"/>
        <v>0</v>
      </c>
    </row>
    <row r="78" spans="2:7" ht="48" x14ac:dyDescent="0.2">
      <c r="B78" s="3" t="s">
        <v>4704</v>
      </c>
      <c r="C78" t="s">
        <v>15</v>
      </c>
      <c r="D78"/>
      <c r="F78">
        <f t="shared" si="1"/>
        <v>0</v>
      </c>
      <c r="G78">
        <f t="shared" si="1"/>
        <v>0</v>
      </c>
    </row>
    <row r="79" spans="2:7" ht="32" x14ac:dyDescent="0.2">
      <c r="B79" s="3" t="s">
        <v>4705</v>
      </c>
      <c r="C79" t="s">
        <v>4706</v>
      </c>
      <c r="D79"/>
      <c r="F79">
        <f t="shared" si="1"/>
        <v>0</v>
      </c>
      <c r="G79">
        <f t="shared" si="1"/>
        <v>0</v>
      </c>
    </row>
    <row r="80" spans="2:7" ht="32" x14ac:dyDescent="0.2">
      <c r="B80" s="3" t="s">
        <v>4707</v>
      </c>
      <c r="C80" t="s">
        <v>4708</v>
      </c>
      <c r="D80"/>
      <c r="F80">
        <f t="shared" si="1"/>
        <v>0</v>
      </c>
      <c r="G80">
        <f t="shared" si="1"/>
        <v>0</v>
      </c>
    </row>
    <row r="81" spans="2:7" ht="48" x14ac:dyDescent="0.2">
      <c r="B81" s="3" t="s">
        <v>4709</v>
      </c>
      <c r="C81" t="s">
        <v>4710</v>
      </c>
      <c r="D81"/>
      <c r="F81">
        <f t="shared" si="1"/>
        <v>0</v>
      </c>
      <c r="G81">
        <f t="shared" si="1"/>
        <v>0</v>
      </c>
    </row>
    <row r="82" spans="2:7" ht="48" x14ac:dyDescent="0.2">
      <c r="B82" s="3" t="s">
        <v>4711</v>
      </c>
      <c r="C82" t="s">
        <v>19</v>
      </c>
      <c r="D82"/>
      <c r="F82">
        <f t="shared" si="1"/>
        <v>0</v>
      </c>
      <c r="G82">
        <f t="shared" si="1"/>
        <v>0</v>
      </c>
    </row>
    <row r="83" spans="2:7" ht="48" x14ac:dyDescent="0.2">
      <c r="B83" s="3" t="s">
        <v>4712</v>
      </c>
      <c r="C83" t="s">
        <v>165</v>
      </c>
      <c r="D83"/>
      <c r="F83">
        <f t="shared" si="1"/>
        <v>0</v>
      </c>
      <c r="G83">
        <f t="shared" si="1"/>
        <v>0</v>
      </c>
    </row>
    <row r="84" spans="2:7" ht="48" x14ac:dyDescent="0.2">
      <c r="B84" s="3" t="s">
        <v>4713</v>
      </c>
      <c r="C84" t="s">
        <v>4714</v>
      </c>
      <c r="D84"/>
      <c r="F84">
        <f t="shared" si="1"/>
        <v>0</v>
      </c>
      <c r="G84">
        <f t="shared" si="1"/>
        <v>0</v>
      </c>
    </row>
    <row r="85" spans="2:7" ht="32" x14ac:dyDescent="0.2">
      <c r="B85" s="3" t="s">
        <v>4715</v>
      </c>
      <c r="C85" t="s">
        <v>5</v>
      </c>
      <c r="D85"/>
      <c r="F85">
        <f t="shared" si="1"/>
        <v>0</v>
      </c>
      <c r="G85">
        <f t="shared" si="1"/>
        <v>0</v>
      </c>
    </row>
    <row r="86" spans="2:7" ht="32" x14ac:dyDescent="0.2">
      <c r="B86" s="3" t="s">
        <v>4716</v>
      </c>
      <c r="C86" t="s">
        <v>4065</v>
      </c>
      <c r="D86"/>
      <c r="F86">
        <f t="shared" si="1"/>
        <v>0</v>
      </c>
      <c r="G86">
        <f t="shared" si="1"/>
        <v>0</v>
      </c>
    </row>
    <row r="87" spans="2:7" ht="48" x14ac:dyDescent="0.2">
      <c r="B87" s="3" t="s">
        <v>4717</v>
      </c>
      <c r="C87" t="s">
        <v>2082</v>
      </c>
      <c r="D87"/>
      <c r="F87">
        <f t="shared" si="1"/>
        <v>0</v>
      </c>
      <c r="G87">
        <f t="shared" si="1"/>
        <v>0</v>
      </c>
    </row>
    <row r="88" spans="2:7" ht="48" x14ac:dyDescent="0.2">
      <c r="B88" s="3" t="s">
        <v>4718</v>
      </c>
      <c r="C88" t="s">
        <v>5</v>
      </c>
      <c r="D88"/>
      <c r="F88">
        <f t="shared" si="1"/>
        <v>0</v>
      </c>
      <c r="G88">
        <f t="shared" si="1"/>
        <v>0</v>
      </c>
    </row>
    <row r="89" spans="2:7" ht="48" x14ac:dyDescent="0.2">
      <c r="B89" s="3" t="s">
        <v>4719</v>
      </c>
      <c r="C89" t="s">
        <v>4720</v>
      </c>
      <c r="D89"/>
      <c r="F89">
        <f t="shared" si="1"/>
        <v>0</v>
      </c>
      <c r="G89">
        <f t="shared" si="1"/>
        <v>0</v>
      </c>
    </row>
    <row r="90" spans="2:7" ht="48" x14ac:dyDescent="0.2">
      <c r="B90" s="3" t="s">
        <v>4721</v>
      </c>
      <c r="C90" t="s">
        <v>3502</v>
      </c>
      <c r="D90"/>
      <c r="F90">
        <f t="shared" si="1"/>
        <v>0</v>
      </c>
      <c r="G90">
        <f t="shared" si="1"/>
        <v>0</v>
      </c>
    </row>
    <row r="91" spans="2:7" ht="48" x14ac:dyDescent="0.2">
      <c r="B91" s="3" t="s">
        <v>4722</v>
      </c>
      <c r="C91" t="s">
        <v>80</v>
      </c>
      <c r="D91"/>
      <c r="F91">
        <f t="shared" si="1"/>
        <v>0</v>
      </c>
      <c r="G91">
        <f t="shared" si="1"/>
        <v>0</v>
      </c>
    </row>
    <row r="92" spans="2:7" ht="48" x14ac:dyDescent="0.2">
      <c r="B92" s="3" t="s">
        <v>4723</v>
      </c>
      <c r="C92" t="s">
        <v>192</v>
      </c>
      <c r="D92"/>
      <c r="F92">
        <f t="shared" si="1"/>
        <v>0</v>
      </c>
      <c r="G92">
        <f t="shared" si="1"/>
        <v>0</v>
      </c>
    </row>
    <row r="93" spans="2:7" ht="48" x14ac:dyDescent="0.2">
      <c r="B93" s="3" t="s">
        <v>4724</v>
      </c>
      <c r="C93" t="s">
        <v>84</v>
      </c>
      <c r="D93"/>
      <c r="F93">
        <f t="shared" si="1"/>
        <v>0</v>
      </c>
      <c r="G93">
        <f t="shared" si="1"/>
        <v>0</v>
      </c>
    </row>
    <row r="94" spans="2:7" ht="48" x14ac:dyDescent="0.2">
      <c r="B94" s="3" t="s">
        <v>4725</v>
      </c>
      <c r="C94" t="s">
        <v>4726</v>
      </c>
      <c r="D94"/>
      <c r="F94">
        <f t="shared" si="1"/>
        <v>0</v>
      </c>
      <c r="G94">
        <f t="shared" si="1"/>
        <v>0</v>
      </c>
    </row>
    <row r="95" spans="2:7" ht="48" x14ac:dyDescent="0.2">
      <c r="B95" s="3" t="s">
        <v>4727</v>
      </c>
      <c r="C95" t="s">
        <v>193</v>
      </c>
      <c r="D95"/>
      <c r="F95">
        <f t="shared" si="1"/>
        <v>0</v>
      </c>
      <c r="G95">
        <f t="shared" si="1"/>
        <v>0</v>
      </c>
    </row>
    <row r="96" spans="2:7" ht="64" x14ac:dyDescent="0.2">
      <c r="B96" s="3" t="s">
        <v>4728</v>
      </c>
      <c r="C96" t="s">
        <v>77</v>
      </c>
      <c r="D96"/>
      <c r="E96" t="s">
        <v>4737</v>
      </c>
      <c r="F96">
        <f t="shared" si="1"/>
        <v>0</v>
      </c>
      <c r="G96">
        <f t="shared" si="1"/>
        <v>1</v>
      </c>
    </row>
    <row r="97" spans="2:7" ht="32" x14ac:dyDescent="0.2">
      <c r="B97" s="3" t="s">
        <v>4729</v>
      </c>
      <c r="C97" t="s">
        <v>4730</v>
      </c>
      <c r="D97"/>
      <c r="F97">
        <f t="shared" si="1"/>
        <v>0</v>
      </c>
      <c r="G97">
        <f t="shared" si="1"/>
        <v>0</v>
      </c>
    </row>
    <row r="98" spans="2:7" ht="48" x14ac:dyDescent="0.2">
      <c r="B98" s="3" t="s">
        <v>4731</v>
      </c>
      <c r="C98" t="s">
        <v>4403</v>
      </c>
      <c r="D98"/>
      <c r="F98">
        <f t="shared" si="1"/>
        <v>0</v>
      </c>
      <c r="G98">
        <f t="shared" si="1"/>
        <v>0</v>
      </c>
    </row>
    <row r="99" spans="2:7" ht="32" x14ac:dyDescent="0.2">
      <c r="B99" s="3" t="s">
        <v>4732</v>
      </c>
      <c r="C99" t="s">
        <v>4733</v>
      </c>
      <c r="D99"/>
      <c r="F99">
        <f t="shared" si="1"/>
        <v>0</v>
      </c>
      <c r="G99">
        <f t="shared" si="1"/>
        <v>0</v>
      </c>
    </row>
    <row r="100" spans="2:7" ht="48" x14ac:dyDescent="0.2">
      <c r="B100" s="3" t="s">
        <v>4734</v>
      </c>
      <c r="C100" t="s">
        <v>3502</v>
      </c>
      <c r="D100"/>
      <c r="F100">
        <f t="shared" si="1"/>
        <v>0</v>
      </c>
      <c r="G100">
        <f t="shared" si="1"/>
        <v>0</v>
      </c>
    </row>
    <row r="101" spans="2:7" ht="48" x14ac:dyDescent="0.2">
      <c r="B101" s="3" t="s">
        <v>4735</v>
      </c>
      <c r="C101" t="s">
        <v>17</v>
      </c>
      <c r="D101" t="s">
        <v>790</v>
      </c>
      <c r="F101">
        <f t="shared" si="1"/>
        <v>1</v>
      </c>
      <c r="G101">
        <f t="shared" si="1"/>
        <v>0</v>
      </c>
    </row>
    <row r="103" spans="2:7" x14ac:dyDescent="0.2">
      <c r="F103" s="10">
        <f>SUM(F2:F101)</f>
        <v>6</v>
      </c>
      <c r="G103" s="10">
        <f>SUM(G2:G101)</f>
        <v>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DF89D-A08E-0C48-AC54-0C1C5E6BDA79}">
  <dimension ref="A1:G103"/>
  <sheetViews>
    <sheetView topLeftCell="A94" zoomScale="160" zoomScaleNormal="160" workbookViewId="0">
      <selection activeCell="D103" sqref="D103"/>
    </sheetView>
  </sheetViews>
  <sheetFormatPr baseColWidth="10" defaultRowHeight="15" x14ac:dyDescent="0.2"/>
  <cols>
    <col min="1" max="1" width="6" style="3" customWidth="1"/>
    <col min="2" max="2" width="56.1640625" style="7" customWidth="1"/>
    <col min="4" max="4" width="15.1640625" style="9" customWidth="1"/>
    <col min="5" max="5" width="13.33203125" customWidth="1"/>
  </cols>
  <sheetData>
    <row r="1" spans="1:7" ht="16" x14ac:dyDescent="0.2">
      <c r="A1" s="2" t="s">
        <v>0</v>
      </c>
      <c r="B1" s="2" t="s">
        <v>0</v>
      </c>
      <c r="C1" s="1" t="s">
        <v>1</v>
      </c>
      <c r="D1" s="8" t="s">
        <v>44</v>
      </c>
      <c r="E1" s="1" t="s">
        <v>45</v>
      </c>
      <c r="F1" s="1" t="s">
        <v>44</v>
      </c>
      <c r="G1" s="1" t="s">
        <v>45</v>
      </c>
    </row>
    <row r="2" spans="1:7" ht="48" x14ac:dyDescent="0.2">
      <c r="B2" s="3" t="s">
        <v>4738</v>
      </c>
      <c r="C2" t="s">
        <v>4739</v>
      </c>
      <c r="D2"/>
      <c r="F2">
        <f>IF(D2="",0,1)</f>
        <v>0</v>
      </c>
      <c r="G2">
        <f>IF(E2="",0,1)</f>
        <v>0</v>
      </c>
    </row>
    <row r="3" spans="1:7" ht="48" x14ac:dyDescent="0.2">
      <c r="B3" s="3" t="s">
        <v>4740</v>
      </c>
      <c r="C3" t="s">
        <v>4741</v>
      </c>
      <c r="D3"/>
      <c r="F3">
        <f t="shared" ref="F3:G66" si="0">IF(D3="",0,1)</f>
        <v>0</v>
      </c>
      <c r="G3">
        <f t="shared" si="0"/>
        <v>0</v>
      </c>
    </row>
    <row r="4" spans="1:7" ht="64" x14ac:dyDescent="0.2">
      <c r="B4" s="3" t="s">
        <v>4742</v>
      </c>
      <c r="C4" t="s">
        <v>3527</v>
      </c>
      <c r="D4"/>
      <c r="F4">
        <f t="shared" si="0"/>
        <v>0</v>
      </c>
      <c r="G4">
        <f t="shared" si="0"/>
        <v>0</v>
      </c>
    </row>
    <row r="5" spans="1:7" ht="48" x14ac:dyDescent="0.2">
      <c r="B5" s="3" t="s">
        <v>4743</v>
      </c>
      <c r="C5" t="s">
        <v>4744</v>
      </c>
      <c r="D5"/>
      <c r="F5">
        <f t="shared" si="0"/>
        <v>0</v>
      </c>
      <c r="G5">
        <f t="shared" si="0"/>
        <v>0</v>
      </c>
    </row>
    <row r="6" spans="1:7" ht="48" x14ac:dyDescent="0.2">
      <c r="B6" s="3" t="s">
        <v>4745</v>
      </c>
      <c r="C6" t="s">
        <v>42</v>
      </c>
      <c r="D6"/>
      <c r="F6">
        <f t="shared" si="0"/>
        <v>0</v>
      </c>
      <c r="G6">
        <f t="shared" si="0"/>
        <v>0</v>
      </c>
    </row>
    <row r="7" spans="1:7" ht="48" x14ac:dyDescent="0.2">
      <c r="B7" s="3" t="s">
        <v>4746</v>
      </c>
      <c r="C7" t="s">
        <v>18</v>
      </c>
      <c r="D7"/>
      <c r="F7">
        <f t="shared" si="0"/>
        <v>0</v>
      </c>
      <c r="G7">
        <f t="shared" si="0"/>
        <v>0</v>
      </c>
    </row>
    <row r="8" spans="1:7" ht="64" x14ac:dyDescent="0.2">
      <c r="B8" s="3" t="s">
        <v>4747</v>
      </c>
      <c r="C8" t="s">
        <v>185</v>
      </c>
      <c r="D8"/>
      <c r="F8">
        <f t="shared" si="0"/>
        <v>0</v>
      </c>
      <c r="G8">
        <f t="shared" si="0"/>
        <v>0</v>
      </c>
    </row>
    <row r="9" spans="1:7" ht="48" x14ac:dyDescent="0.2">
      <c r="B9" s="3" t="s">
        <v>4748</v>
      </c>
      <c r="C9" t="s">
        <v>84</v>
      </c>
      <c r="D9"/>
      <c r="F9">
        <f t="shared" si="0"/>
        <v>0</v>
      </c>
      <c r="G9">
        <f t="shared" si="0"/>
        <v>0</v>
      </c>
    </row>
    <row r="10" spans="1:7" ht="48" x14ac:dyDescent="0.2">
      <c r="B10" s="3" t="s">
        <v>4749</v>
      </c>
      <c r="C10" t="s">
        <v>37</v>
      </c>
      <c r="D10"/>
      <c r="F10">
        <f t="shared" si="0"/>
        <v>0</v>
      </c>
      <c r="G10">
        <f t="shared" si="0"/>
        <v>0</v>
      </c>
    </row>
    <row r="11" spans="1:7" ht="48" x14ac:dyDescent="0.2">
      <c r="B11" s="3" t="s">
        <v>4750</v>
      </c>
      <c r="C11" t="s">
        <v>4751</v>
      </c>
      <c r="D11"/>
      <c r="F11">
        <f t="shared" si="0"/>
        <v>0</v>
      </c>
      <c r="G11">
        <f t="shared" si="0"/>
        <v>0</v>
      </c>
    </row>
    <row r="12" spans="1:7" ht="48" x14ac:dyDescent="0.2">
      <c r="B12" s="3" t="s">
        <v>4752</v>
      </c>
      <c r="C12" t="s">
        <v>4753</v>
      </c>
      <c r="D12"/>
      <c r="F12">
        <f t="shared" si="0"/>
        <v>0</v>
      </c>
      <c r="G12">
        <f t="shared" si="0"/>
        <v>0</v>
      </c>
    </row>
    <row r="13" spans="1:7" ht="48" x14ac:dyDescent="0.2">
      <c r="B13" s="3" t="s">
        <v>4754</v>
      </c>
      <c r="C13" t="s">
        <v>165</v>
      </c>
      <c r="D13"/>
      <c r="F13">
        <f t="shared" si="0"/>
        <v>0</v>
      </c>
      <c r="G13">
        <f t="shared" si="0"/>
        <v>0</v>
      </c>
    </row>
    <row r="14" spans="1:7" ht="48" x14ac:dyDescent="0.2">
      <c r="B14" s="3" t="s">
        <v>4755</v>
      </c>
      <c r="C14" t="s">
        <v>4756</v>
      </c>
      <c r="D14" t="s">
        <v>4864</v>
      </c>
      <c r="F14">
        <f t="shared" si="0"/>
        <v>1</v>
      </c>
      <c r="G14">
        <f t="shared" si="0"/>
        <v>0</v>
      </c>
    </row>
    <row r="15" spans="1:7" ht="48" x14ac:dyDescent="0.2">
      <c r="B15" s="3" t="s">
        <v>4757</v>
      </c>
      <c r="C15" t="s">
        <v>83</v>
      </c>
      <c r="D15"/>
      <c r="F15">
        <f t="shared" si="0"/>
        <v>0</v>
      </c>
      <c r="G15">
        <f t="shared" si="0"/>
        <v>0</v>
      </c>
    </row>
    <row r="16" spans="1:7" ht="48" x14ac:dyDescent="0.2">
      <c r="B16" s="3" t="s">
        <v>4758</v>
      </c>
      <c r="C16" t="s">
        <v>181</v>
      </c>
      <c r="D16"/>
      <c r="F16">
        <f t="shared" si="0"/>
        <v>0</v>
      </c>
      <c r="G16">
        <f t="shared" si="0"/>
        <v>0</v>
      </c>
    </row>
    <row r="17" spans="2:7" ht="48" x14ac:dyDescent="0.2">
      <c r="B17" s="3" t="s">
        <v>4759</v>
      </c>
      <c r="C17" t="s">
        <v>24</v>
      </c>
      <c r="D17"/>
      <c r="F17">
        <f t="shared" si="0"/>
        <v>0</v>
      </c>
      <c r="G17">
        <f t="shared" si="0"/>
        <v>0</v>
      </c>
    </row>
    <row r="18" spans="2:7" ht="64" x14ac:dyDescent="0.2">
      <c r="B18" s="3" t="s">
        <v>4760</v>
      </c>
      <c r="C18" t="s">
        <v>93</v>
      </c>
      <c r="D18"/>
      <c r="F18">
        <f t="shared" si="0"/>
        <v>0</v>
      </c>
      <c r="G18">
        <f t="shared" si="0"/>
        <v>0</v>
      </c>
    </row>
    <row r="19" spans="2:7" ht="48" x14ac:dyDescent="0.2">
      <c r="B19" s="3" t="s">
        <v>4761</v>
      </c>
      <c r="C19" t="s">
        <v>122</v>
      </c>
      <c r="D19"/>
      <c r="F19">
        <f t="shared" si="0"/>
        <v>0</v>
      </c>
      <c r="G19">
        <f t="shared" si="0"/>
        <v>0</v>
      </c>
    </row>
    <row r="20" spans="2:7" ht="48" x14ac:dyDescent="0.2">
      <c r="B20" s="3" t="s">
        <v>4762</v>
      </c>
      <c r="C20" t="s">
        <v>294</v>
      </c>
      <c r="D20"/>
      <c r="F20">
        <f t="shared" si="0"/>
        <v>0</v>
      </c>
      <c r="G20">
        <f t="shared" si="0"/>
        <v>0</v>
      </c>
    </row>
    <row r="21" spans="2:7" ht="48" x14ac:dyDescent="0.2">
      <c r="B21" s="3" t="s">
        <v>4763</v>
      </c>
      <c r="C21" t="s">
        <v>5</v>
      </c>
      <c r="D21"/>
      <c r="F21">
        <f t="shared" si="0"/>
        <v>0</v>
      </c>
      <c r="G21">
        <f t="shared" si="0"/>
        <v>0</v>
      </c>
    </row>
    <row r="22" spans="2:7" ht="48" x14ac:dyDescent="0.2">
      <c r="B22" s="3" t="s">
        <v>4764</v>
      </c>
      <c r="C22" t="s">
        <v>4606</v>
      </c>
      <c r="D22"/>
      <c r="F22">
        <f t="shared" si="0"/>
        <v>0</v>
      </c>
      <c r="G22">
        <f t="shared" si="0"/>
        <v>0</v>
      </c>
    </row>
    <row r="23" spans="2:7" ht="64" x14ac:dyDescent="0.2">
      <c r="B23" s="3" t="s">
        <v>4765</v>
      </c>
      <c r="C23" t="s">
        <v>30</v>
      </c>
      <c r="D23"/>
      <c r="F23">
        <f t="shared" si="0"/>
        <v>0</v>
      </c>
      <c r="G23">
        <f t="shared" si="0"/>
        <v>0</v>
      </c>
    </row>
    <row r="24" spans="2:7" ht="64" x14ac:dyDescent="0.2">
      <c r="B24" s="3" t="s">
        <v>4766</v>
      </c>
      <c r="C24" t="s">
        <v>184</v>
      </c>
      <c r="D24"/>
      <c r="F24">
        <f t="shared" si="0"/>
        <v>0</v>
      </c>
      <c r="G24">
        <f t="shared" si="0"/>
        <v>0</v>
      </c>
    </row>
    <row r="25" spans="2:7" ht="48" x14ac:dyDescent="0.2">
      <c r="B25" s="3" t="s">
        <v>4767</v>
      </c>
      <c r="C25" t="s">
        <v>4768</v>
      </c>
      <c r="D25"/>
      <c r="F25">
        <f t="shared" si="0"/>
        <v>0</v>
      </c>
      <c r="G25">
        <f t="shared" si="0"/>
        <v>0</v>
      </c>
    </row>
    <row r="26" spans="2:7" ht="48" x14ac:dyDescent="0.2">
      <c r="B26" s="3" t="s">
        <v>4769</v>
      </c>
      <c r="C26" t="s">
        <v>4770</v>
      </c>
      <c r="D26"/>
      <c r="F26">
        <f t="shared" si="0"/>
        <v>0</v>
      </c>
      <c r="G26">
        <f t="shared" si="0"/>
        <v>0</v>
      </c>
    </row>
    <row r="27" spans="2:7" ht="48" x14ac:dyDescent="0.2">
      <c r="B27" s="3" t="s">
        <v>4771</v>
      </c>
      <c r="C27" t="s">
        <v>126</v>
      </c>
      <c r="D27"/>
      <c r="F27">
        <f t="shared" si="0"/>
        <v>0</v>
      </c>
      <c r="G27">
        <f t="shared" si="0"/>
        <v>0</v>
      </c>
    </row>
    <row r="28" spans="2:7" ht="48" x14ac:dyDescent="0.2">
      <c r="B28" s="3" t="s">
        <v>4772</v>
      </c>
      <c r="C28" t="s">
        <v>20</v>
      </c>
      <c r="D28"/>
      <c r="E28" t="s">
        <v>4865</v>
      </c>
      <c r="F28">
        <f t="shared" si="0"/>
        <v>0</v>
      </c>
      <c r="G28">
        <f t="shared" si="0"/>
        <v>1</v>
      </c>
    </row>
    <row r="29" spans="2:7" ht="48" x14ac:dyDescent="0.2">
      <c r="B29" s="3" t="s">
        <v>4773</v>
      </c>
      <c r="C29" t="s">
        <v>4774</v>
      </c>
      <c r="D29"/>
      <c r="F29">
        <f t="shared" si="0"/>
        <v>0</v>
      </c>
      <c r="G29">
        <f t="shared" si="0"/>
        <v>0</v>
      </c>
    </row>
    <row r="30" spans="2:7" ht="64" x14ac:dyDescent="0.2">
      <c r="B30" s="3" t="s">
        <v>4775</v>
      </c>
      <c r="C30" t="s">
        <v>185</v>
      </c>
      <c r="D30"/>
      <c r="E30" t="s">
        <v>48</v>
      </c>
      <c r="F30">
        <f t="shared" si="0"/>
        <v>0</v>
      </c>
      <c r="G30">
        <f t="shared" si="0"/>
        <v>1</v>
      </c>
    </row>
    <row r="31" spans="2:7" ht="48" x14ac:dyDescent="0.2">
      <c r="B31" s="3" t="s">
        <v>4776</v>
      </c>
      <c r="C31" t="s">
        <v>84</v>
      </c>
      <c r="D31"/>
      <c r="F31">
        <f t="shared" si="0"/>
        <v>0</v>
      </c>
      <c r="G31">
        <f t="shared" si="0"/>
        <v>0</v>
      </c>
    </row>
    <row r="32" spans="2:7" ht="64" x14ac:dyDescent="0.2">
      <c r="B32" s="3" t="s">
        <v>4777</v>
      </c>
      <c r="C32" t="s">
        <v>294</v>
      </c>
      <c r="D32"/>
      <c r="F32">
        <f t="shared" si="0"/>
        <v>0</v>
      </c>
      <c r="G32">
        <f t="shared" si="0"/>
        <v>0</v>
      </c>
    </row>
    <row r="33" spans="2:7" ht="48" x14ac:dyDescent="0.2">
      <c r="B33" s="3" t="s">
        <v>4778</v>
      </c>
      <c r="C33" t="s">
        <v>4779</v>
      </c>
      <c r="D33"/>
      <c r="F33">
        <f t="shared" si="0"/>
        <v>0</v>
      </c>
      <c r="G33">
        <f t="shared" si="0"/>
        <v>0</v>
      </c>
    </row>
    <row r="34" spans="2:7" ht="48" x14ac:dyDescent="0.2">
      <c r="B34" s="3" t="s">
        <v>4780</v>
      </c>
      <c r="C34" t="s">
        <v>254</v>
      </c>
      <c r="D34"/>
      <c r="F34">
        <f t="shared" si="0"/>
        <v>0</v>
      </c>
      <c r="G34">
        <f t="shared" si="0"/>
        <v>0</v>
      </c>
    </row>
    <row r="35" spans="2:7" ht="48" x14ac:dyDescent="0.2">
      <c r="B35" s="3" t="s">
        <v>4781</v>
      </c>
      <c r="C35" t="s">
        <v>4782</v>
      </c>
      <c r="D35" t="s">
        <v>3909</v>
      </c>
      <c r="F35">
        <f t="shared" si="0"/>
        <v>1</v>
      </c>
      <c r="G35">
        <f t="shared" si="0"/>
        <v>0</v>
      </c>
    </row>
    <row r="36" spans="2:7" ht="48" x14ac:dyDescent="0.2">
      <c r="B36" s="3" t="s">
        <v>4783</v>
      </c>
      <c r="C36" t="s">
        <v>4784</v>
      </c>
      <c r="D36"/>
      <c r="F36">
        <f t="shared" si="0"/>
        <v>0</v>
      </c>
      <c r="G36">
        <f t="shared" si="0"/>
        <v>0</v>
      </c>
    </row>
    <row r="37" spans="2:7" ht="48" x14ac:dyDescent="0.2">
      <c r="B37" s="3" t="s">
        <v>4785</v>
      </c>
      <c r="C37" t="s">
        <v>2449</v>
      </c>
      <c r="D37"/>
      <c r="F37">
        <f t="shared" si="0"/>
        <v>0</v>
      </c>
      <c r="G37">
        <f t="shared" si="0"/>
        <v>0</v>
      </c>
    </row>
    <row r="38" spans="2:7" ht="48" x14ac:dyDescent="0.2">
      <c r="B38" s="3" t="s">
        <v>4786</v>
      </c>
      <c r="C38" t="s">
        <v>181</v>
      </c>
      <c r="D38"/>
      <c r="F38">
        <f t="shared" si="0"/>
        <v>0</v>
      </c>
      <c r="G38">
        <f t="shared" si="0"/>
        <v>0</v>
      </c>
    </row>
    <row r="39" spans="2:7" ht="48" x14ac:dyDescent="0.2">
      <c r="B39" s="3" t="s">
        <v>4787</v>
      </c>
      <c r="C39" t="s">
        <v>4788</v>
      </c>
      <c r="D39"/>
      <c r="F39">
        <f t="shared" si="0"/>
        <v>0</v>
      </c>
      <c r="G39">
        <f t="shared" si="0"/>
        <v>0</v>
      </c>
    </row>
    <row r="40" spans="2:7" ht="48" x14ac:dyDescent="0.2">
      <c r="B40" s="3" t="s">
        <v>4789</v>
      </c>
      <c r="C40" t="s">
        <v>4403</v>
      </c>
      <c r="D40"/>
      <c r="F40">
        <f t="shared" si="0"/>
        <v>0</v>
      </c>
      <c r="G40">
        <f t="shared" si="0"/>
        <v>0</v>
      </c>
    </row>
    <row r="41" spans="2:7" ht="48" x14ac:dyDescent="0.2">
      <c r="B41" s="3" t="s">
        <v>4790</v>
      </c>
      <c r="C41" t="s">
        <v>5</v>
      </c>
      <c r="D41"/>
      <c r="F41">
        <f t="shared" si="0"/>
        <v>0</v>
      </c>
      <c r="G41">
        <f t="shared" si="0"/>
        <v>0</v>
      </c>
    </row>
    <row r="42" spans="2:7" ht="48" x14ac:dyDescent="0.2">
      <c r="B42" s="3" t="s">
        <v>4791</v>
      </c>
      <c r="C42" t="s">
        <v>15</v>
      </c>
      <c r="D42"/>
      <c r="F42">
        <f t="shared" si="0"/>
        <v>0</v>
      </c>
      <c r="G42">
        <f t="shared" si="0"/>
        <v>0</v>
      </c>
    </row>
    <row r="43" spans="2:7" ht="48" x14ac:dyDescent="0.2">
      <c r="B43" s="3" t="s">
        <v>4792</v>
      </c>
      <c r="C43" t="s">
        <v>4793</v>
      </c>
      <c r="D43"/>
      <c r="F43">
        <f t="shared" si="0"/>
        <v>0</v>
      </c>
      <c r="G43">
        <f t="shared" si="0"/>
        <v>0</v>
      </c>
    </row>
    <row r="44" spans="2:7" ht="48" x14ac:dyDescent="0.2">
      <c r="B44" s="3" t="s">
        <v>4794</v>
      </c>
      <c r="C44" t="s">
        <v>286</v>
      </c>
      <c r="D44"/>
      <c r="E44" t="s">
        <v>87</v>
      </c>
      <c r="F44">
        <f t="shared" si="0"/>
        <v>0</v>
      </c>
      <c r="G44">
        <f t="shared" si="0"/>
        <v>1</v>
      </c>
    </row>
    <row r="45" spans="2:7" ht="48" x14ac:dyDescent="0.2">
      <c r="B45" s="3" t="s">
        <v>4795</v>
      </c>
      <c r="C45" t="s">
        <v>3161</v>
      </c>
      <c r="D45"/>
      <c r="F45">
        <f t="shared" si="0"/>
        <v>0</v>
      </c>
      <c r="G45">
        <f t="shared" si="0"/>
        <v>0</v>
      </c>
    </row>
    <row r="46" spans="2:7" ht="64" x14ac:dyDescent="0.2">
      <c r="B46" s="3" t="s">
        <v>4796</v>
      </c>
      <c r="C46" t="s">
        <v>18</v>
      </c>
      <c r="D46"/>
      <c r="F46">
        <f t="shared" si="0"/>
        <v>0</v>
      </c>
      <c r="G46">
        <f t="shared" si="0"/>
        <v>0</v>
      </c>
    </row>
    <row r="47" spans="2:7" ht="48" x14ac:dyDescent="0.2">
      <c r="B47" s="3" t="s">
        <v>4797</v>
      </c>
      <c r="C47" t="s">
        <v>135</v>
      </c>
      <c r="D47"/>
      <c r="F47">
        <f t="shared" si="0"/>
        <v>0</v>
      </c>
      <c r="G47">
        <f t="shared" si="0"/>
        <v>0</v>
      </c>
    </row>
    <row r="48" spans="2:7" ht="48" x14ac:dyDescent="0.2">
      <c r="B48" s="3" t="s">
        <v>4798</v>
      </c>
      <c r="C48" t="s">
        <v>4799</v>
      </c>
      <c r="D48"/>
      <c r="F48">
        <f t="shared" si="0"/>
        <v>0</v>
      </c>
      <c r="G48">
        <f t="shared" si="0"/>
        <v>0</v>
      </c>
    </row>
    <row r="49" spans="2:7" ht="48" x14ac:dyDescent="0.2">
      <c r="B49" s="3" t="s">
        <v>4800</v>
      </c>
      <c r="C49" t="s">
        <v>174</v>
      </c>
      <c r="D49"/>
      <c r="F49">
        <f t="shared" si="0"/>
        <v>0</v>
      </c>
      <c r="G49">
        <f t="shared" si="0"/>
        <v>0</v>
      </c>
    </row>
    <row r="50" spans="2:7" ht="48" x14ac:dyDescent="0.2">
      <c r="B50" s="3" t="s">
        <v>4801</v>
      </c>
      <c r="C50" t="s">
        <v>4802</v>
      </c>
      <c r="D50"/>
      <c r="F50">
        <f t="shared" si="0"/>
        <v>0</v>
      </c>
      <c r="G50">
        <f t="shared" si="0"/>
        <v>0</v>
      </c>
    </row>
    <row r="51" spans="2:7" ht="48" x14ac:dyDescent="0.2">
      <c r="B51" s="3" t="s">
        <v>4803</v>
      </c>
      <c r="C51" t="s">
        <v>70</v>
      </c>
      <c r="D51"/>
      <c r="F51">
        <f t="shared" si="0"/>
        <v>0</v>
      </c>
      <c r="G51">
        <f t="shared" si="0"/>
        <v>0</v>
      </c>
    </row>
    <row r="52" spans="2:7" ht="48" x14ac:dyDescent="0.2">
      <c r="B52" s="3" t="s">
        <v>4804</v>
      </c>
      <c r="C52" t="s">
        <v>4805</v>
      </c>
      <c r="D52"/>
      <c r="F52">
        <f t="shared" si="0"/>
        <v>0</v>
      </c>
      <c r="G52">
        <f t="shared" si="0"/>
        <v>0</v>
      </c>
    </row>
    <row r="53" spans="2:7" ht="48" x14ac:dyDescent="0.2">
      <c r="B53" s="3" t="s">
        <v>4806</v>
      </c>
      <c r="C53" t="s">
        <v>4807</v>
      </c>
      <c r="D53"/>
      <c r="F53">
        <f t="shared" si="0"/>
        <v>0</v>
      </c>
      <c r="G53">
        <f t="shared" si="0"/>
        <v>0</v>
      </c>
    </row>
    <row r="54" spans="2:7" ht="48" x14ac:dyDescent="0.2">
      <c r="B54" s="3" t="s">
        <v>4808</v>
      </c>
      <c r="C54" t="s">
        <v>3926</v>
      </c>
      <c r="D54"/>
      <c r="F54">
        <f t="shared" si="0"/>
        <v>0</v>
      </c>
      <c r="G54">
        <f t="shared" si="0"/>
        <v>0</v>
      </c>
    </row>
    <row r="55" spans="2:7" ht="48" x14ac:dyDescent="0.2">
      <c r="B55" s="3" t="s">
        <v>4809</v>
      </c>
      <c r="C55" t="s">
        <v>3824</v>
      </c>
      <c r="D55"/>
      <c r="F55">
        <f t="shared" si="0"/>
        <v>0</v>
      </c>
      <c r="G55">
        <f t="shared" si="0"/>
        <v>0</v>
      </c>
    </row>
    <row r="56" spans="2:7" ht="64" x14ac:dyDescent="0.2">
      <c r="B56" s="3" t="s">
        <v>4810</v>
      </c>
      <c r="C56" t="s">
        <v>904</v>
      </c>
      <c r="D56"/>
      <c r="F56">
        <f t="shared" si="0"/>
        <v>0</v>
      </c>
      <c r="G56">
        <f t="shared" si="0"/>
        <v>0</v>
      </c>
    </row>
    <row r="57" spans="2:7" ht="48" x14ac:dyDescent="0.2">
      <c r="B57" s="3" t="s">
        <v>4811</v>
      </c>
      <c r="C57" t="s">
        <v>2</v>
      </c>
      <c r="D57"/>
      <c r="F57">
        <f t="shared" si="0"/>
        <v>0</v>
      </c>
      <c r="G57">
        <f t="shared" si="0"/>
        <v>0</v>
      </c>
    </row>
    <row r="58" spans="2:7" ht="48" x14ac:dyDescent="0.2">
      <c r="B58" s="3" t="s">
        <v>4812</v>
      </c>
      <c r="C58" t="s">
        <v>42</v>
      </c>
      <c r="D58"/>
      <c r="F58">
        <f t="shared" si="0"/>
        <v>0</v>
      </c>
      <c r="G58">
        <f t="shared" si="0"/>
        <v>0</v>
      </c>
    </row>
    <row r="59" spans="2:7" ht="48" x14ac:dyDescent="0.2">
      <c r="B59" s="3" t="s">
        <v>4813</v>
      </c>
      <c r="C59" t="s">
        <v>4814</v>
      </c>
      <c r="D59"/>
      <c r="F59">
        <f t="shared" si="0"/>
        <v>0</v>
      </c>
      <c r="G59">
        <f t="shared" si="0"/>
        <v>0</v>
      </c>
    </row>
    <row r="60" spans="2:7" ht="48" x14ac:dyDescent="0.2">
      <c r="B60" s="3" t="s">
        <v>4815</v>
      </c>
      <c r="C60" t="s">
        <v>4816</v>
      </c>
      <c r="D60"/>
      <c r="F60">
        <f t="shared" si="0"/>
        <v>0</v>
      </c>
      <c r="G60">
        <f t="shared" si="0"/>
        <v>0</v>
      </c>
    </row>
    <row r="61" spans="2:7" ht="48" x14ac:dyDescent="0.2">
      <c r="B61" s="3" t="s">
        <v>4817</v>
      </c>
      <c r="C61" t="s">
        <v>294</v>
      </c>
      <c r="D61"/>
      <c r="F61">
        <f t="shared" si="0"/>
        <v>0</v>
      </c>
      <c r="G61">
        <f t="shared" si="0"/>
        <v>0</v>
      </c>
    </row>
    <row r="62" spans="2:7" ht="48" x14ac:dyDescent="0.2">
      <c r="B62" s="3" t="s">
        <v>4818</v>
      </c>
      <c r="C62" t="s">
        <v>42</v>
      </c>
      <c r="D62"/>
      <c r="F62">
        <f t="shared" si="0"/>
        <v>0</v>
      </c>
      <c r="G62">
        <f t="shared" si="0"/>
        <v>0</v>
      </c>
    </row>
    <row r="63" spans="2:7" ht="48" x14ac:dyDescent="0.2">
      <c r="B63" s="3" t="s">
        <v>4819</v>
      </c>
      <c r="C63" t="s">
        <v>77</v>
      </c>
      <c r="D63"/>
      <c r="F63">
        <f t="shared" si="0"/>
        <v>0</v>
      </c>
      <c r="G63">
        <f t="shared" si="0"/>
        <v>0</v>
      </c>
    </row>
    <row r="64" spans="2:7" ht="64" x14ac:dyDescent="0.2">
      <c r="B64" s="3" t="s">
        <v>4820</v>
      </c>
      <c r="C64" t="s">
        <v>3790</v>
      </c>
      <c r="D64"/>
      <c r="F64">
        <f t="shared" si="0"/>
        <v>0</v>
      </c>
      <c r="G64">
        <f t="shared" si="0"/>
        <v>0</v>
      </c>
    </row>
    <row r="65" spans="2:7" ht="64" x14ac:dyDescent="0.2">
      <c r="B65" s="3" t="s">
        <v>4821</v>
      </c>
      <c r="C65" t="s">
        <v>163</v>
      </c>
      <c r="D65"/>
      <c r="F65">
        <f t="shared" si="0"/>
        <v>0</v>
      </c>
      <c r="G65">
        <f t="shared" si="0"/>
        <v>0</v>
      </c>
    </row>
    <row r="66" spans="2:7" ht="48" x14ac:dyDescent="0.2">
      <c r="B66" s="3" t="s">
        <v>4822</v>
      </c>
      <c r="C66" t="s">
        <v>66</v>
      </c>
      <c r="D66"/>
      <c r="F66">
        <f t="shared" si="0"/>
        <v>0</v>
      </c>
      <c r="G66">
        <f t="shared" si="0"/>
        <v>0</v>
      </c>
    </row>
    <row r="67" spans="2:7" ht="48" x14ac:dyDescent="0.2">
      <c r="B67" s="3" t="s">
        <v>4823</v>
      </c>
      <c r="C67" t="s">
        <v>17</v>
      </c>
      <c r="D67" t="s">
        <v>790</v>
      </c>
      <c r="F67">
        <f t="shared" ref="F67:G101" si="1">IF(D67="",0,1)</f>
        <v>1</v>
      </c>
      <c r="G67">
        <f t="shared" si="1"/>
        <v>0</v>
      </c>
    </row>
    <row r="68" spans="2:7" ht="48" x14ac:dyDescent="0.2">
      <c r="B68" s="3" t="s">
        <v>4824</v>
      </c>
      <c r="C68" t="s">
        <v>4825</v>
      </c>
      <c r="D68"/>
      <c r="F68">
        <f t="shared" si="1"/>
        <v>0</v>
      </c>
      <c r="G68">
        <f t="shared" si="1"/>
        <v>0</v>
      </c>
    </row>
    <row r="69" spans="2:7" ht="64" x14ac:dyDescent="0.2">
      <c r="B69" s="3" t="s">
        <v>4826</v>
      </c>
      <c r="C69" t="s">
        <v>126</v>
      </c>
      <c r="D69"/>
      <c r="F69">
        <f t="shared" si="1"/>
        <v>0</v>
      </c>
      <c r="G69">
        <f t="shared" si="1"/>
        <v>0</v>
      </c>
    </row>
    <row r="70" spans="2:7" ht="48" x14ac:dyDescent="0.2">
      <c r="B70" s="3" t="s">
        <v>4827</v>
      </c>
      <c r="C70" t="s">
        <v>203</v>
      </c>
      <c r="D70"/>
      <c r="F70">
        <f t="shared" si="1"/>
        <v>0</v>
      </c>
      <c r="G70">
        <f t="shared" si="1"/>
        <v>0</v>
      </c>
    </row>
    <row r="71" spans="2:7" ht="64" x14ac:dyDescent="0.2">
      <c r="B71" s="3" t="s">
        <v>4828</v>
      </c>
      <c r="C71" t="s">
        <v>15</v>
      </c>
      <c r="D71" t="s">
        <v>3771</v>
      </c>
      <c r="F71">
        <f t="shared" si="1"/>
        <v>1</v>
      </c>
      <c r="G71">
        <f t="shared" si="1"/>
        <v>0</v>
      </c>
    </row>
    <row r="72" spans="2:7" ht="48" x14ac:dyDescent="0.2">
      <c r="B72" s="3" t="s">
        <v>4829</v>
      </c>
      <c r="C72" t="s">
        <v>115</v>
      </c>
      <c r="D72"/>
      <c r="F72">
        <f t="shared" si="1"/>
        <v>0</v>
      </c>
      <c r="G72">
        <f t="shared" si="1"/>
        <v>0</v>
      </c>
    </row>
    <row r="73" spans="2:7" ht="48" x14ac:dyDescent="0.2">
      <c r="B73" s="3" t="s">
        <v>4830</v>
      </c>
      <c r="C73" t="s">
        <v>4831</v>
      </c>
      <c r="D73"/>
      <c r="F73">
        <f t="shared" si="1"/>
        <v>0</v>
      </c>
      <c r="G73">
        <f t="shared" si="1"/>
        <v>0</v>
      </c>
    </row>
    <row r="74" spans="2:7" ht="48" x14ac:dyDescent="0.2">
      <c r="B74" s="3" t="s">
        <v>4832</v>
      </c>
      <c r="C74" t="s">
        <v>4833</v>
      </c>
      <c r="D74"/>
      <c r="F74">
        <f t="shared" si="1"/>
        <v>0</v>
      </c>
      <c r="G74">
        <f t="shared" si="1"/>
        <v>0</v>
      </c>
    </row>
    <row r="75" spans="2:7" ht="48" x14ac:dyDescent="0.2">
      <c r="B75" s="3" t="s">
        <v>4834</v>
      </c>
      <c r="C75" t="s">
        <v>4835</v>
      </c>
      <c r="D75"/>
      <c r="F75">
        <f t="shared" si="1"/>
        <v>0</v>
      </c>
      <c r="G75">
        <f t="shared" si="1"/>
        <v>0</v>
      </c>
    </row>
    <row r="76" spans="2:7" ht="48" x14ac:dyDescent="0.2">
      <c r="B76" s="3" t="s">
        <v>4836</v>
      </c>
      <c r="C76" t="s">
        <v>277</v>
      </c>
      <c r="D76"/>
      <c r="F76">
        <f t="shared" si="1"/>
        <v>0</v>
      </c>
      <c r="G76">
        <f t="shared" si="1"/>
        <v>0</v>
      </c>
    </row>
    <row r="77" spans="2:7" ht="48" x14ac:dyDescent="0.2">
      <c r="B77" s="3" t="s">
        <v>4837</v>
      </c>
      <c r="C77" t="s">
        <v>5</v>
      </c>
      <c r="D77"/>
      <c r="F77">
        <f t="shared" si="1"/>
        <v>0</v>
      </c>
      <c r="G77">
        <f t="shared" si="1"/>
        <v>0</v>
      </c>
    </row>
    <row r="78" spans="2:7" ht="48" x14ac:dyDescent="0.2">
      <c r="B78" s="3" t="s">
        <v>4838</v>
      </c>
      <c r="C78" t="s">
        <v>4839</v>
      </c>
      <c r="D78"/>
      <c r="F78">
        <f t="shared" si="1"/>
        <v>0</v>
      </c>
      <c r="G78">
        <f t="shared" si="1"/>
        <v>0</v>
      </c>
    </row>
    <row r="79" spans="2:7" ht="48" x14ac:dyDescent="0.2">
      <c r="B79" s="3" t="s">
        <v>4840</v>
      </c>
      <c r="C79" t="s">
        <v>184</v>
      </c>
      <c r="D79"/>
      <c r="F79">
        <f t="shared" si="1"/>
        <v>0</v>
      </c>
      <c r="G79">
        <f t="shared" si="1"/>
        <v>0</v>
      </c>
    </row>
    <row r="80" spans="2:7" ht="48" x14ac:dyDescent="0.2">
      <c r="B80" s="3" t="s">
        <v>4841</v>
      </c>
      <c r="C80" t="s">
        <v>111</v>
      </c>
      <c r="D80"/>
      <c r="F80">
        <f t="shared" si="1"/>
        <v>0</v>
      </c>
      <c r="G80">
        <f t="shared" si="1"/>
        <v>0</v>
      </c>
    </row>
    <row r="81" spans="2:7" ht="48" x14ac:dyDescent="0.2">
      <c r="B81" s="3" t="s">
        <v>4842</v>
      </c>
      <c r="C81" t="s">
        <v>130</v>
      </c>
      <c r="D81"/>
      <c r="F81">
        <f t="shared" si="1"/>
        <v>0</v>
      </c>
      <c r="G81">
        <f t="shared" si="1"/>
        <v>0</v>
      </c>
    </row>
    <row r="82" spans="2:7" ht="48" x14ac:dyDescent="0.2">
      <c r="B82" s="3" t="s">
        <v>4843</v>
      </c>
      <c r="C82" t="s">
        <v>67</v>
      </c>
      <c r="D82"/>
      <c r="F82">
        <f t="shared" si="1"/>
        <v>0</v>
      </c>
      <c r="G82">
        <f t="shared" si="1"/>
        <v>0</v>
      </c>
    </row>
    <row r="83" spans="2:7" ht="48" x14ac:dyDescent="0.2">
      <c r="B83" s="3" t="s">
        <v>4844</v>
      </c>
      <c r="C83" t="s">
        <v>132</v>
      </c>
      <c r="D83"/>
      <c r="F83">
        <f t="shared" si="1"/>
        <v>0</v>
      </c>
      <c r="G83">
        <f t="shared" si="1"/>
        <v>0</v>
      </c>
    </row>
    <row r="84" spans="2:7" ht="48" x14ac:dyDescent="0.2">
      <c r="B84" s="3" t="s">
        <v>4845</v>
      </c>
      <c r="C84" t="s">
        <v>77</v>
      </c>
      <c r="D84"/>
      <c r="F84">
        <f t="shared" si="1"/>
        <v>0</v>
      </c>
      <c r="G84">
        <f t="shared" si="1"/>
        <v>0</v>
      </c>
    </row>
    <row r="85" spans="2:7" ht="48" x14ac:dyDescent="0.2">
      <c r="B85" s="3" t="s">
        <v>4846</v>
      </c>
      <c r="C85" t="s">
        <v>3504</v>
      </c>
      <c r="D85"/>
      <c r="F85">
        <f t="shared" si="1"/>
        <v>0</v>
      </c>
      <c r="G85">
        <f t="shared" si="1"/>
        <v>0</v>
      </c>
    </row>
    <row r="86" spans="2:7" ht="48" x14ac:dyDescent="0.2">
      <c r="B86" s="3" t="s">
        <v>4847</v>
      </c>
      <c r="C86" t="s">
        <v>4848</v>
      </c>
      <c r="D86"/>
      <c r="F86">
        <f t="shared" si="1"/>
        <v>0</v>
      </c>
      <c r="G86">
        <f t="shared" si="1"/>
        <v>0</v>
      </c>
    </row>
    <row r="87" spans="2:7" ht="48" x14ac:dyDescent="0.2">
      <c r="B87" s="3" t="s">
        <v>4849</v>
      </c>
      <c r="C87" t="s">
        <v>13</v>
      </c>
      <c r="D87"/>
      <c r="E87" t="s">
        <v>85</v>
      </c>
      <c r="F87">
        <f t="shared" si="1"/>
        <v>0</v>
      </c>
      <c r="G87">
        <f t="shared" si="1"/>
        <v>1</v>
      </c>
    </row>
    <row r="88" spans="2:7" ht="48" x14ac:dyDescent="0.2">
      <c r="B88" s="3" t="s">
        <v>4850</v>
      </c>
      <c r="C88" t="s">
        <v>5</v>
      </c>
      <c r="D88"/>
      <c r="F88">
        <f t="shared" si="1"/>
        <v>0</v>
      </c>
      <c r="G88">
        <f t="shared" si="1"/>
        <v>0</v>
      </c>
    </row>
    <row r="89" spans="2:7" ht="64" x14ac:dyDescent="0.2">
      <c r="B89" s="3" t="s">
        <v>4851</v>
      </c>
      <c r="C89" t="s">
        <v>5</v>
      </c>
      <c r="D89"/>
      <c r="F89">
        <f t="shared" si="1"/>
        <v>0</v>
      </c>
      <c r="G89">
        <f t="shared" si="1"/>
        <v>0</v>
      </c>
    </row>
    <row r="90" spans="2:7" ht="48" x14ac:dyDescent="0.2">
      <c r="B90" s="3" t="s">
        <v>4852</v>
      </c>
      <c r="C90" t="s">
        <v>3499</v>
      </c>
      <c r="D90"/>
      <c r="F90">
        <f t="shared" si="1"/>
        <v>0</v>
      </c>
      <c r="G90">
        <f t="shared" si="1"/>
        <v>0</v>
      </c>
    </row>
    <row r="91" spans="2:7" ht="48" x14ac:dyDescent="0.2">
      <c r="B91" s="3" t="s">
        <v>4853</v>
      </c>
      <c r="C91" t="s">
        <v>18</v>
      </c>
      <c r="D91"/>
      <c r="E91" t="s">
        <v>85</v>
      </c>
      <c r="F91">
        <f t="shared" si="1"/>
        <v>0</v>
      </c>
      <c r="G91">
        <f t="shared" si="1"/>
        <v>1</v>
      </c>
    </row>
    <row r="92" spans="2:7" ht="48" x14ac:dyDescent="0.2">
      <c r="B92" s="3" t="s">
        <v>4854</v>
      </c>
      <c r="C92" t="s">
        <v>185</v>
      </c>
      <c r="D92"/>
      <c r="F92">
        <f t="shared" si="1"/>
        <v>0</v>
      </c>
      <c r="G92">
        <f t="shared" si="1"/>
        <v>0</v>
      </c>
    </row>
    <row r="93" spans="2:7" ht="48" x14ac:dyDescent="0.2">
      <c r="B93" s="3" t="s">
        <v>4855</v>
      </c>
      <c r="C93" t="s">
        <v>237</v>
      </c>
      <c r="D93"/>
      <c r="F93">
        <f t="shared" si="1"/>
        <v>0</v>
      </c>
      <c r="G93">
        <f t="shared" si="1"/>
        <v>0</v>
      </c>
    </row>
    <row r="94" spans="2:7" ht="48" x14ac:dyDescent="0.2">
      <c r="B94" s="3" t="s">
        <v>4856</v>
      </c>
      <c r="C94" t="s">
        <v>35</v>
      </c>
      <c r="D94"/>
      <c r="F94">
        <f t="shared" si="1"/>
        <v>0</v>
      </c>
      <c r="G94">
        <f t="shared" si="1"/>
        <v>0</v>
      </c>
    </row>
    <row r="95" spans="2:7" ht="48" x14ac:dyDescent="0.2">
      <c r="B95" s="3" t="s">
        <v>4857</v>
      </c>
      <c r="C95" t="s">
        <v>4299</v>
      </c>
      <c r="D95"/>
      <c r="F95">
        <f t="shared" si="1"/>
        <v>0</v>
      </c>
      <c r="G95">
        <f t="shared" si="1"/>
        <v>0</v>
      </c>
    </row>
    <row r="96" spans="2:7" ht="48" x14ac:dyDescent="0.2">
      <c r="B96" s="3" t="s">
        <v>4858</v>
      </c>
      <c r="C96" t="s">
        <v>4673</v>
      </c>
      <c r="D96"/>
      <c r="F96">
        <f t="shared" si="1"/>
        <v>0</v>
      </c>
      <c r="G96">
        <f t="shared" si="1"/>
        <v>0</v>
      </c>
    </row>
    <row r="97" spans="2:7" ht="48" x14ac:dyDescent="0.2">
      <c r="B97" s="3" t="s">
        <v>4859</v>
      </c>
      <c r="C97" t="s">
        <v>97</v>
      </c>
      <c r="D97"/>
      <c r="F97">
        <f t="shared" si="1"/>
        <v>0</v>
      </c>
      <c r="G97">
        <f t="shared" si="1"/>
        <v>0</v>
      </c>
    </row>
    <row r="98" spans="2:7" ht="48" x14ac:dyDescent="0.2">
      <c r="B98" s="3" t="s">
        <v>4860</v>
      </c>
      <c r="C98" t="s">
        <v>4403</v>
      </c>
      <c r="D98"/>
      <c r="F98">
        <f t="shared" si="1"/>
        <v>0</v>
      </c>
      <c r="G98">
        <f t="shared" si="1"/>
        <v>0</v>
      </c>
    </row>
    <row r="99" spans="2:7" ht="48" x14ac:dyDescent="0.2">
      <c r="B99" s="3" t="s">
        <v>4861</v>
      </c>
      <c r="C99" t="s">
        <v>184</v>
      </c>
      <c r="D99"/>
      <c r="F99">
        <f t="shared" si="1"/>
        <v>0</v>
      </c>
      <c r="G99">
        <f t="shared" si="1"/>
        <v>0</v>
      </c>
    </row>
    <row r="100" spans="2:7" ht="48" x14ac:dyDescent="0.2">
      <c r="B100" s="3" t="s">
        <v>4862</v>
      </c>
      <c r="C100" t="s">
        <v>1866</v>
      </c>
      <c r="D100"/>
      <c r="F100">
        <f t="shared" si="1"/>
        <v>0</v>
      </c>
      <c r="G100">
        <f t="shared" si="1"/>
        <v>0</v>
      </c>
    </row>
    <row r="101" spans="2:7" ht="48" x14ac:dyDescent="0.2">
      <c r="B101" s="3" t="s">
        <v>4863</v>
      </c>
      <c r="C101" t="s">
        <v>17</v>
      </c>
      <c r="D101"/>
      <c r="F101">
        <f t="shared" si="1"/>
        <v>0</v>
      </c>
      <c r="G101">
        <f t="shared" si="1"/>
        <v>0</v>
      </c>
    </row>
    <row r="103" spans="2:7" x14ac:dyDescent="0.2">
      <c r="F103" s="10">
        <f>SUM(F2:F101)</f>
        <v>4</v>
      </c>
      <c r="G103" s="10">
        <f>SUM(G2:G101)</f>
        <v>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10CBE-5394-CE4C-B863-11E678E4271C}">
  <dimension ref="A1:G103"/>
  <sheetViews>
    <sheetView topLeftCell="A92" zoomScale="150" zoomScaleNormal="150" workbookViewId="0">
      <selection activeCell="D102" sqref="D102"/>
    </sheetView>
  </sheetViews>
  <sheetFormatPr baseColWidth="10" defaultRowHeight="15" x14ac:dyDescent="0.2"/>
  <cols>
    <col min="1" max="1" width="5.33203125" style="3" customWidth="1"/>
    <col min="2" max="2" width="56.1640625" style="7" customWidth="1"/>
    <col min="4" max="4" width="15.1640625" style="9" customWidth="1"/>
    <col min="5" max="5" width="13.33203125" customWidth="1"/>
  </cols>
  <sheetData>
    <row r="1" spans="1:7" ht="16" x14ac:dyDescent="0.2">
      <c r="A1" s="2" t="s">
        <v>0</v>
      </c>
      <c r="B1" s="2" t="s">
        <v>0</v>
      </c>
      <c r="C1" s="1" t="s">
        <v>1</v>
      </c>
      <c r="D1" s="8" t="s">
        <v>44</v>
      </c>
      <c r="E1" s="1" t="s">
        <v>45</v>
      </c>
      <c r="F1" s="1" t="s">
        <v>44</v>
      </c>
      <c r="G1" s="1" t="s">
        <v>45</v>
      </c>
    </row>
    <row r="2" spans="1:7" ht="48" x14ac:dyDescent="0.2">
      <c r="B2" s="3" t="s">
        <v>4866</v>
      </c>
      <c r="C2" t="s">
        <v>127</v>
      </c>
      <c r="D2"/>
      <c r="F2">
        <f>IF(D2="",0,1)</f>
        <v>0</v>
      </c>
      <c r="G2">
        <f>IF(E2="",0,1)</f>
        <v>0</v>
      </c>
    </row>
    <row r="3" spans="1:7" ht="48" x14ac:dyDescent="0.2">
      <c r="B3" s="3" t="s">
        <v>4867</v>
      </c>
      <c r="C3" t="s">
        <v>115</v>
      </c>
      <c r="D3"/>
      <c r="F3">
        <f t="shared" ref="F3:G66" si="0">IF(D3="",0,1)</f>
        <v>0</v>
      </c>
      <c r="G3">
        <f t="shared" si="0"/>
        <v>0</v>
      </c>
    </row>
    <row r="4" spans="1:7" ht="48" x14ac:dyDescent="0.2">
      <c r="B4" s="3" t="s">
        <v>4868</v>
      </c>
      <c r="C4" t="s">
        <v>4869</v>
      </c>
      <c r="D4"/>
      <c r="F4">
        <f t="shared" si="0"/>
        <v>0</v>
      </c>
      <c r="G4">
        <f t="shared" si="0"/>
        <v>0</v>
      </c>
    </row>
    <row r="5" spans="1:7" ht="32" x14ac:dyDescent="0.2">
      <c r="B5" s="3" t="s">
        <v>4870</v>
      </c>
      <c r="C5" t="s">
        <v>4871</v>
      </c>
      <c r="D5" t="s">
        <v>49</v>
      </c>
      <c r="F5">
        <f t="shared" si="0"/>
        <v>1</v>
      </c>
      <c r="G5">
        <f t="shared" si="0"/>
        <v>0</v>
      </c>
    </row>
    <row r="6" spans="1:7" ht="32" x14ac:dyDescent="0.2">
      <c r="B6" s="3" t="s">
        <v>4872</v>
      </c>
      <c r="C6" t="s">
        <v>4873</v>
      </c>
      <c r="D6"/>
      <c r="F6">
        <f t="shared" si="0"/>
        <v>0</v>
      </c>
      <c r="G6">
        <f t="shared" si="0"/>
        <v>0</v>
      </c>
    </row>
    <row r="7" spans="1:7" ht="48" x14ac:dyDescent="0.2">
      <c r="B7" s="3" t="s">
        <v>4874</v>
      </c>
      <c r="C7" t="s">
        <v>207</v>
      </c>
      <c r="D7"/>
      <c r="F7">
        <f t="shared" si="0"/>
        <v>0</v>
      </c>
      <c r="G7">
        <f t="shared" si="0"/>
        <v>0</v>
      </c>
    </row>
    <row r="8" spans="1:7" ht="48" x14ac:dyDescent="0.2">
      <c r="B8" s="3" t="s">
        <v>4875</v>
      </c>
      <c r="C8" t="s">
        <v>284</v>
      </c>
      <c r="D8"/>
      <c r="F8">
        <f t="shared" si="0"/>
        <v>0</v>
      </c>
      <c r="G8">
        <f t="shared" si="0"/>
        <v>0</v>
      </c>
    </row>
    <row r="9" spans="1:7" ht="32" x14ac:dyDescent="0.2">
      <c r="B9" s="3" t="s">
        <v>4876</v>
      </c>
      <c r="C9" t="s">
        <v>294</v>
      </c>
      <c r="D9"/>
      <c r="F9">
        <f t="shared" si="0"/>
        <v>0</v>
      </c>
      <c r="G9">
        <f t="shared" si="0"/>
        <v>0</v>
      </c>
    </row>
    <row r="10" spans="1:7" ht="32" x14ac:dyDescent="0.2">
      <c r="B10" s="3" t="s">
        <v>4877</v>
      </c>
      <c r="C10" t="s">
        <v>3151</v>
      </c>
      <c r="D10"/>
      <c r="F10">
        <f t="shared" si="0"/>
        <v>0</v>
      </c>
      <c r="G10">
        <f t="shared" si="0"/>
        <v>0</v>
      </c>
    </row>
    <row r="11" spans="1:7" ht="48" x14ac:dyDescent="0.2">
      <c r="B11" s="3" t="s">
        <v>4878</v>
      </c>
      <c r="C11" t="s">
        <v>4879</v>
      </c>
      <c r="D11" t="s">
        <v>3909</v>
      </c>
      <c r="F11">
        <f t="shared" si="0"/>
        <v>1</v>
      </c>
      <c r="G11">
        <f t="shared" si="0"/>
        <v>0</v>
      </c>
    </row>
    <row r="12" spans="1:7" ht="48" x14ac:dyDescent="0.2">
      <c r="B12" s="3" t="s">
        <v>4880</v>
      </c>
      <c r="C12" t="s">
        <v>4881</v>
      </c>
      <c r="D12"/>
      <c r="F12">
        <f t="shared" si="0"/>
        <v>0</v>
      </c>
      <c r="G12">
        <f t="shared" si="0"/>
        <v>0</v>
      </c>
    </row>
    <row r="13" spans="1:7" ht="48" x14ac:dyDescent="0.2">
      <c r="B13" s="3" t="s">
        <v>4882</v>
      </c>
      <c r="C13" t="s">
        <v>4883</v>
      </c>
      <c r="D13"/>
      <c r="F13">
        <f t="shared" si="0"/>
        <v>0</v>
      </c>
      <c r="G13">
        <f t="shared" si="0"/>
        <v>0</v>
      </c>
    </row>
    <row r="14" spans="1:7" ht="48" x14ac:dyDescent="0.2">
      <c r="B14" s="3" t="s">
        <v>4884</v>
      </c>
      <c r="C14" t="s">
        <v>4673</v>
      </c>
      <c r="D14" t="s">
        <v>3771</v>
      </c>
      <c r="F14">
        <f t="shared" si="0"/>
        <v>1</v>
      </c>
      <c r="G14">
        <f t="shared" si="0"/>
        <v>0</v>
      </c>
    </row>
    <row r="15" spans="1:7" ht="48" x14ac:dyDescent="0.2">
      <c r="B15" s="3" t="s">
        <v>4885</v>
      </c>
      <c r="C15" t="s">
        <v>4886</v>
      </c>
      <c r="D15"/>
      <c r="F15">
        <f t="shared" si="0"/>
        <v>0</v>
      </c>
      <c r="G15">
        <f t="shared" si="0"/>
        <v>0</v>
      </c>
    </row>
    <row r="16" spans="1:7" ht="48" x14ac:dyDescent="0.2">
      <c r="B16" s="3" t="s">
        <v>4887</v>
      </c>
      <c r="C16" t="s">
        <v>294</v>
      </c>
      <c r="D16"/>
      <c r="F16">
        <f t="shared" si="0"/>
        <v>0</v>
      </c>
      <c r="G16">
        <f t="shared" si="0"/>
        <v>0</v>
      </c>
    </row>
    <row r="17" spans="2:7" ht="32" x14ac:dyDescent="0.2">
      <c r="B17" s="3" t="s">
        <v>4888</v>
      </c>
      <c r="C17" t="s">
        <v>4889</v>
      </c>
      <c r="D17"/>
      <c r="F17">
        <f t="shared" si="0"/>
        <v>0</v>
      </c>
      <c r="G17">
        <f t="shared" si="0"/>
        <v>0</v>
      </c>
    </row>
    <row r="18" spans="2:7" ht="48" x14ac:dyDescent="0.2">
      <c r="B18" s="3" t="s">
        <v>4890</v>
      </c>
      <c r="C18" t="s">
        <v>127</v>
      </c>
      <c r="D18"/>
      <c r="F18">
        <f t="shared" si="0"/>
        <v>0</v>
      </c>
      <c r="G18">
        <f t="shared" si="0"/>
        <v>0</v>
      </c>
    </row>
    <row r="19" spans="2:7" ht="48" x14ac:dyDescent="0.2">
      <c r="B19" s="3" t="s">
        <v>4891</v>
      </c>
      <c r="C19" t="s">
        <v>84</v>
      </c>
      <c r="D19"/>
      <c r="F19">
        <f t="shared" si="0"/>
        <v>0</v>
      </c>
      <c r="G19">
        <f t="shared" si="0"/>
        <v>0</v>
      </c>
    </row>
    <row r="20" spans="2:7" ht="48" x14ac:dyDescent="0.2">
      <c r="B20" s="3" t="s">
        <v>4892</v>
      </c>
      <c r="C20" t="s">
        <v>4893</v>
      </c>
      <c r="D20"/>
      <c r="F20">
        <f t="shared" si="0"/>
        <v>0</v>
      </c>
      <c r="G20">
        <f t="shared" si="0"/>
        <v>0</v>
      </c>
    </row>
    <row r="21" spans="2:7" ht="48" x14ac:dyDescent="0.2">
      <c r="B21" s="3" t="s">
        <v>4894</v>
      </c>
      <c r="C21" t="s">
        <v>193</v>
      </c>
      <c r="D21"/>
      <c r="F21">
        <f t="shared" si="0"/>
        <v>0</v>
      </c>
      <c r="G21">
        <f t="shared" si="0"/>
        <v>0</v>
      </c>
    </row>
    <row r="22" spans="2:7" ht="48" x14ac:dyDescent="0.2">
      <c r="B22" s="3" t="s">
        <v>4895</v>
      </c>
      <c r="C22" t="s">
        <v>3144</v>
      </c>
      <c r="D22"/>
      <c r="F22">
        <f t="shared" si="0"/>
        <v>0</v>
      </c>
      <c r="G22">
        <f t="shared" si="0"/>
        <v>0</v>
      </c>
    </row>
    <row r="23" spans="2:7" ht="48" x14ac:dyDescent="0.2">
      <c r="B23" s="3" t="s">
        <v>4896</v>
      </c>
      <c r="C23" t="s">
        <v>4897</v>
      </c>
      <c r="D23"/>
      <c r="E23" t="s">
        <v>259</v>
      </c>
      <c r="F23">
        <f t="shared" si="0"/>
        <v>0</v>
      </c>
      <c r="G23">
        <f t="shared" si="0"/>
        <v>1</v>
      </c>
    </row>
    <row r="24" spans="2:7" ht="48" x14ac:dyDescent="0.2">
      <c r="B24" s="3" t="s">
        <v>4898</v>
      </c>
      <c r="C24" t="s">
        <v>4899</v>
      </c>
      <c r="D24"/>
      <c r="F24">
        <f t="shared" si="0"/>
        <v>0</v>
      </c>
      <c r="G24">
        <f t="shared" si="0"/>
        <v>0</v>
      </c>
    </row>
    <row r="25" spans="2:7" ht="48" x14ac:dyDescent="0.2">
      <c r="B25" s="3" t="s">
        <v>4900</v>
      </c>
      <c r="C25" t="s">
        <v>4835</v>
      </c>
      <c r="D25" t="s">
        <v>1497</v>
      </c>
      <c r="F25">
        <f t="shared" si="0"/>
        <v>1</v>
      </c>
      <c r="G25">
        <f t="shared" si="0"/>
        <v>0</v>
      </c>
    </row>
    <row r="26" spans="2:7" ht="48" x14ac:dyDescent="0.2">
      <c r="B26" s="3" t="s">
        <v>4901</v>
      </c>
      <c r="C26" t="s">
        <v>4902</v>
      </c>
      <c r="D26"/>
      <c r="F26">
        <f t="shared" si="0"/>
        <v>0</v>
      </c>
      <c r="G26">
        <f t="shared" si="0"/>
        <v>0</v>
      </c>
    </row>
    <row r="27" spans="2:7" ht="48" x14ac:dyDescent="0.2">
      <c r="B27" s="3" t="s">
        <v>4903</v>
      </c>
      <c r="C27" t="s">
        <v>79</v>
      </c>
      <c r="D27"/>
      <c r="F27">
        <f t="shared" si="0"/>
        <v>0</v>
      </c>
      <c r="G27">
        <f t="shared" si="0"/>
        <v>0</v>
      </c>
    </row>
    <row r="28" spans="2:7" ht="48" x14ac:dyDescent="0.2">
      <c r="B28" s="3" t="s">
        <v>4904</v>
      </c>
      <c r="C28" t="s">
        <v>84</v>
      </c>
      <c r="D28"/>
      <c r="F28">
        <f t="shared" si="0"/>
        <v>0</v>
      </c>
      <c r="G28">
        <f t="shared" si="0"/>
        <v>0</v>
      </c>
    </row>
    <row r="29" spans="2:7" ht="48" x14ac:dyDescent="0.2">
      <c r="B29" s="3" t="s">
        <v>4905</v>
      </c>
      <c r="C29" t="s">
        <v>4049</v>
      </c>
      <c r="D29"/>
      <c r="F29">
        <f t="shared" si="0"/>
        <v>0</v>
      </c>
      <c r="G29">
        <f t="shared" si="0"/>
        <v>0</v>
      </c>
    </row>
    <row r="30" spans="2:7" ht="48" x14ac:dyDescent="0.2">
      <c r="B30" s="3" t="s">
        <v>4906</v>
      </c>
      <c r="C30" t="s">
        <v>4907</v>
      </c>
      <c r="D30" t="s">
        <v>49</v>
      </c>
      <c r="F30">
        <f t="shared" si="0"/>
        <v>1</v>
      </c>
      <c r="G30">
        <f t="shared" si="0"/>
        <v>0</v>
      </c>
    </row>
    <row r="31" spans="2:7" ht="48" x14ac:dyDescent="0.2">
      <c r="B31" s="3" t="s">
        <v>4908</v>
      </c>
      <c r="C31" t="s">
        <v>150</v>
      </c>
      <c r="D31"/>
      <c r="F31">
        <f t="shared" si="0"/>
        <v>0</v>
      </c>
      <c r="G31">
        <f t="shared" si="0"/>
        <v>0</v>
      </c>
    </row>
    <row r="32" spans="2:7" ht="48" x14ac:dyDescent="0.2">
      <c r="B32" s="3" t="s">
        <v>4909</v>
      </c>
      <c r="C32" t="s">
        <v>10</v>
      </c>
      <c r="D32"/>
      <c r="F32">
        <f t="shared" si="0"/>
        <v>0</v>
      </c>
      <c r="G32">
        <f t="shared" si="0"/>
        <v>0</v>
      </c>
    </row>
    <row r="33" spans="2:7" ht="32" x14ac:dyDescent="0.2">
      <c r="B33" s="3" t="s">
        <v>4910</v>
      </c>
      <c r="C33" t="s">
        <v>4911</v>
      </c>
      <c r="D33"/>
      <c r="F33">
        <f t="shared" si="0"/>
        <v>0</v>
      </c>
      <c r="G33">
        <f t="shared" si="0"/>
        <v>0</v>
      </c>
    </row>
    <row r="34" spans="2:7" ht="48" x14ac:dyDescent="0.2">
      <c r="B34" s="3" t="s">
        <v>4912</v>
      </c>
      <c r="C34" t="s">
        <v>84</v>
      </c>
      <c r="D34"/>
      <c r="F34">
        <f t="shared" si="0"/>
        <v>0</v>
      </c>
      <c r="G34">
        <f t="shared" si="0"/>
        <v>0</v>
      </c>
    </row>
    <row r="35" spans="2:7" ht="48" x14ac:dyDescent="0.2">
      <c r="B35" s="3" t="s">
        <v>4913</v>
      </c>
      <c r="C35" t="s">
        <v>1398</v>
      </c>
      <c r="D35"/>
      <c r="F35">
        <f t="shared" si="0"/>
        <v>0</v>
      </c>
      <c r="G35">
        <f t="shared" si="0"/>
        <v>0</v>
      </c>
    </row>
    <row r="36" spans="2:7" ht="32" x14ac:dyDescent="0.2">
      <c r="B36" s="3" t="s">
        <v>4914</v>
      </c>
      <c r="C36" t="s">
        <v>2703</v>
      </c>
      <c r="D36"/>
      <c r="F36">
        <f t="shared" si="0"/>
        <v>0</v>
      </c>
      <c r="G36">
        <f t="shared" si="0"/>
        <v>0</v>
      </c>
    </row>
    <row r="37" spans="2:7" ht="48" x14ac:dyDescent="0.2">
      <c r="B37" s="3" t="s">
        <v>4915</v>
      </c>
      <c r="C37" t="s">
        <v>4916</v>
      </c>
      <c r="D37"/>
      <c r="F37">
        <f t="shared" si="0"/>
        <v>0</v>
      </c>
      <c r="G37">
        <f t="shared" si="0"/>
        <v>0</v>
      </c>
    </row>
    <row r="38" spans="2:7" ht="48" x14ac:dyDescent="0.2">
      <c r="B38" s="3" t="s">
        <v>4917</v>
      </c>
      <c r="C38" t="s">
        <v>3989</v>
      </c>
      <c r="D38"/>
      <c r="F38">
        <f t="shared" si="0"/>
        <v>0</v>
      </c>
      <c r="G38">
        <f t="shared" si="0"/>
        <v>0</v>
      </c>
    </row>
    <row r="39" spans="2:7" ht="48" x14ac:dyDescent="0.2">
      <c r="B39" s="3" t="s">
        <v>4918</v>
      </c>
      <c r="C39" t="s">
        <v>163</v>
      </c>
      <c r="D39"/>
      <c r="F39">
        <f t="shared" si="0"/>
        <v>0</v>
      </c>
      <c r="G39">
        <f t="shared" si="0"/>
        <v>0</v>
      </c>
    </row>
    <row r="40" spans="2:7" ht="32" x14ac:dyDescent="0.2">
      <c r="B40" s="3" t="s">
        <v>4919</v>
      </c>
      <c r="C40" t="s">
        <v>297</v>
      </c>
      <c r="D40"/>
      <c r="F40">
        <f t="shared" si="0"/>
        <v>0</v>
      </c>
      <c r="G40">
        <f t="shared" si="0"/>
        <v>0</v>
      </c>
    </row>
    <row r="41" spans="2:7" ht="47" customHeight="1" x14ac:dyDescent="0.2">
      <c r="B41" s="3" t="s">
        <v>4920</v>
      </c>
      <c r="C41" t="s">
        <v>277</v>
      </c>
      <c r="D41"/>
      <c r="F41">
        <f t="shared" si="0"/>
        <v>0</v>
      </c>
      <c r="G41">
        <f t="shared" si="0"/>
        <v>0</v>
      </c>
    </row>
    <row r="42" spans="2:7" ht="48" x14ac:dyDescent="0.2">
      <c r="B42" s="3" t="s">
        <v>4921</v>
      </c>
      <c r="C42" t="s">
        <v>4922</v>
      </c>
      <c r="D42"/>
      <c r="F42">
        <f t="shared" si="0"/>
        <v>0</v>
      </c>
      <c r="G42">
        <f t="shared" si="0"/>
        <v>0</v>
      </c>
    </row>
    <row r="43" spans="2:7" ht="32" x14ac:dyDescent="0.2">
      <c r="B43" s="3" t="s">
        <v>4923</v>
      </c>
      <c r="C43" t="s">
        <v>80</v>
      </c>
      <c r="D43"/>
      <c r="F43">
        <f t="shared" si="0"/>
        <v>0</v>
      </c>
      <c r="G43">
        <f t="shared" si="0"/>
        <v>0</v>
      </c>
    </row>
    <row r="44" spans="2:7" ht="48" x14ac:dyDescent="0.2">
      <c r="B44" s="3" t="s">
        <v>4924</v>
      </c>
      <c r="C44" t="s">
        <v>4925</v>
      </c>
      <c r="D44"/>
      <c r="F44">
        <f t="shared" si="0"/>
        <v>0</v>
      </c>
      <c r="G44">
        <f t="shared" si="0"/>
        <v>0</v>
      </c>
    </row>
    <row r="45" spans="2:7" ht="48" x14ac:dyDescent="0.2">
      <c r="B45" s="3" t="s">
        <v>4926</v>
      </c>
      <c r="C45" t="s">
        <v>913</v>
      </c>
      <c r="D45"/>
      <c r="F45">
        <f t="shared" si="0"/>
        <v>0</v>
      </c>
      <c r="G45">
        <f t="shared" si="0"/>
        <v>0</v>
      </c>
    </row>
    <row r="46" spans="2:7" ht="32" x14ac:dyDescent="0.2">
      <c r="B46" s="3" t="s">
        <v>4927</v>
      </c>
      <c r="C46" t="s">
        <v>65</v>
      </c>
      <c r="D46"/>
      <c r="F46">
        <f t="shared" si="0"/>
        <v>0</v>
      </c>
      <c r="G46">
        <f t="shared" si="0"/>
        <v>0</v>
      </c>
    </row>
    <row r="47" spans="2:7" ht="48" x14ac:dyDescent="0.2">
      <c r="B47" s="3" t="s">
        <v>4928</v>
      </c>
      <c r="C47" t="s">
        <v>254</v>
      </c>
      <c r="D47"/>
      <c r="F47">
        <f t="shared" si="0"/>
        <v>0</v>
      </c>
      <c r="G47">
        <f t="shared" si="0"/>
        <v>0</v>
      </c>
    </row>
    <row r="48" spans="2:7" ht="48" x14ac:dyDescent="0.2">
      <c r="B48" s="3" t="s">
        <v>4929</v>
      </c>
      <c r="C48" t="s">
        <v>67</v>
      </c>
      <c r="D48"/>
      <c r="F48">
        <f t="shared" si="0"/>
        <v>0</v>
      </c>
      <c r="G48">
        <f t="shared" si="0"/>
        <v>0</v>
      </c>
    </row>
    <row r="49" spans="2:7" ht="54" customHeight="1" x14ac:dyDescent="0.2">
      <c r="B49" s="3" t="s">
        <v>4930</v>
      </c>
      <c r="C49" t="s">
        <v>6</v>
      </c>
      <c r="D49"/>
      <c r="F49">
        <f t="shared" si="0"/>
        <v>0</v>
      </c>
      <c r="G49">
        <f t="shared" si="0"/>
        <v>0</v>
      </c>
    </row>
    <row r="50" spans="2:7" ht="48" x14ac:dyDescent="0.2">
      <c r="B50" s="3" t="s">
        <v>4931</v>
      </c>
      <c r="C50" t="s">
        <v>2694</v>
      </c>
      <c r="D50"/>
      <c r="F50">
        <f t="shared" si="0"/>
        <v>0</v>
      </c>
      <c r="G50">
        <f t="shared" si="0"/>
        <v>0</v>
      </c>
    </row>
    <row r="51" spans="2:7" ht="32" x14ac:dyDescent="0.2">
      <c r="B51" s="3" t="s">
        <v>4932</v>
      </c>
      <c r="C51" t="s">
        <v>4933</v>
      </c>
      <c r="D51"/>
      <c r="F51">
        <f t="shared" si="0"/>
        <v>0</v>
      </c>
      <c r="G51">
        <f t="shared" si="0"/>
        <v>0</v>
      </c>
    </row>
    <row r="52" spans="2:7" ht="32" x14ac:dyDescent="0.2">
      <c r="B52" s="3" t="s">
        <v>4934</v>
      </c>
      <c r="C52" t="s">
        <v>1617</v>
      </c>
      <c r="D52"/>
      <c r="F52">
        <f t="shared" si="0"/>
        <v>0</v>
      </c>
      <c r="G52">
        <f t="shared" si="0"/>
        <v>0</v>
      </c>
    </row>
    <row r="53" spans="2:7" ht="32" x14ac:dyDescent="0.2">
      <c r="B53" s="3" t="s">
        <v>4935</v>
      </c>
      <c r="C53" t="s">
        <v>1842</v>
      </c>
      <c r="D53"/>
      <c r="F53">
        <f t="shared" si="0"/>
        <v>0</v>
      </c>
      <c r="G53">
        <f t="shared" si="0"/>
        <v>0</v>
      </c>
    </row>
    <row r="54" spans="2:7" ht="48" x14ac:dyDescent="0.2">
      <c r="B54" s="3" t="s">
        <v>4936</v>
      </c>
      <c r="C54" t="s">
        <v>293</v>
      </c>
      <c r="D54"/>
      <c r="F54">
        <f t="shared" si="0"/>
        <v>0</v>
      </c>
      <c r="G54">
        <f t="shared" si="0"/>
        <v>0</v>
      </c>
    </row>
    <row r="55" spans="2:7" ht="32" x14ac:dyDescent="0.2">
      <c r="B55" s="3" t="s">
        <v>4937</v>
      </c>
      <c r="C55" t="s">
        <v>2922</v>
      </c>
      <c r="D55"/>
      <c r="E55" t="s">
        <v>116</v>
      </c>
      <c r="F55">
        <f t="shared" si="0"/>
        <v>0</v>
      </c>
      <c r="G55">
        <f t="shared" si="0"/>
        <v>1</v>
      </c>
    </row>
    <row r="56" spans="2:7" ht="32" x14ac:dyDescent="0.2">
      <c r="B56" s="3" t="s">
        <v>4938</v>
      </c>
      <c r="C56" t="s">
        <v>4939</v>
      </c>
      <c r="D56"/>
      <c r="F56">
        <f t="shared" si="0"/>
        <v>0</v>
      </c>
      <c r="G56">
        <f t="shared" si="0"/>
        <v>0</v>
      </c>
    </row>
    <row r="57" spans="2:7" ht="39" customHeight="1" x14ac:dyDescent="0.2">
      <c r="B57" s="3" t="s">
        <v>4940</v>
      </c>
      <c r="C57" t="s">
        <v>175</v>
      </c>
      <c r="D57"/>
      <c r="F57">
        <f t="shared" si="0"/>
        <v>0</v>
      </c>
      <c r="G57">
        <f t="shared" si="0"/>
        <v>0</v>
      </c>
    </row>
    <row r="58" spans="2:7" ht="48" x14ac:dyDescent="0.2">
      <c r="B58" s="3" t="s">
        <v>4941</v>
      </c>
      <c r="C58" t="s">
        <v>2</v>
      </c>
      <c r="D58"/>
      <c r="F58">
        <f t="shared" si="0"/>
        <v>0</v>
      </c>
      <c r="G58">
        <f t="shared" si="0"/>
        <v>0</v>
      </c>
    </row>
    <row r="59" spans="2:7" ht="48" x14ac:dyDescent="0.2">
      <c r="B59" s="3" t="s">
        <v>4942</v>
      </c>
      <c r="C59" t="s">
        <v>3819</v>
      </c>
      <c r="D59"/>
      <c r="F59">
        <f t="shared" si="0"/>
        <v>0</v>
      </c>
      <c r="G59">
        <f t="shared" si="0"/>
        <v>0</v>
      </c>
    </row>
    <row r="60" spans="2:7" ht="48" x14ac:dyDescent="0.2">
      <c r="B60" s="3" t="s">
        <v>4943</v>
      </c>
      <c r="C60" t="s">
        <v>3424</v>
      </c>
      <c r="D60"/>
      <c r="F60">
        <f t="shared" si="0"/>
        <v>0</v>
      </c>
      <c r="G60">
        <f t="shared" si="0"/>
        <v>0</v>
      </c>
    </row>
    <row r="61" spans="2:7" ht="48" x14ac:dyDescent="0.2">
      <c r="B61" s="3" t="s">
        <v>4944</v>
      </c>
      <c r="C61" t="s">
        <v>4945</v>
      </c>
      <c r="D61"/>
      <c r="F61">
        <f t="shared" si="0"/>
        <v>0</v>
      </c>
      <c r="G61">
        <f t="shared" si="0"/>
        <v>0</v>
      </c>
    </row>
    <row r="62" spans="2:7" ht="48" x14ac:dyDescent="0.2">
      <c r="B62" s="3" t="s">
        <v>4946</v>
      </c>
      <c r="C62" t="s">
        <v>4871</v>
      </c>
      <c r="D62"/>
      <c r="F62">
        <f t="shared" si="0"/>
        <v>0</v>
      </c>
      <c r="G62">
        <f t="shared" si="0"/>
        <v>0</v>
      </c>
    </row>
    <row r="63" spans="2:7" ht="16" x14ac:dyDescent="0.2">
      <c r="B63" s="3" t="s">
        <v>4947</v>
      </c>
      <c r="C63" t="s">
        <v>2</v>
      </c>
      <c r="D63"/>
      <c r="E63" t="s">
        <v>280</v>
      </c>
      <c r="F63">
        <f t="shared" si="0"/>
        <v>0</v>
      </c>
      <c r="G63">
        <f t="shared" si="0"/>
        <v>1</v>
      </c>
    </row>
    <row r="64" spans="2:7" ht="48" x14ac:dyDescent="0.2">
      <c r="B64" s="3" t="s">
        <v>4948</v>
      </c>
      <c r="C64" t="s">
        <v>4835</v>
      </c>
      <c r="D64"/>
      <c r="F64">
        <f t="shared" si="0"/>
        <v>0</v>
      </c>
      <c r="G64">
        <f t="shared" si="0"/>
        <v>0</v>
      </c>
    </row>
    <row r="65" spans="2:7" ht="48" x14ac:dyDescent="0.2">
      <c r="B65" s="3" t="s">
        <v>4949</v>
      </c>
      <c r="C65" t="s">
        <v>4950</v>
      </c>
      <c r="D65"/>
      <c r="F65">
        <f t="shared" si="0"/>
        <v>0</v>
      </c>
      <c r="G65">
        <f t="shared" si="0"/>
        <v>0</v>
      </c>
    </row>
    <row r="66" spans="2:7" ht="48" x14ac:dyDescent="0.2">
      <c r="B66" s="3" t="s">
        <v>4951</v>
      </c>
      <c r="C66" t="s">
        <v>190</v>
      </c>
      <c r="D66"/>
      <c r="F66">
        <f t="shared" si="0"/>
        <v>0</v>
      </c>
      <c r="G66">
        <f t="shared" si="0"/>
        <v>0</v>
      </c>
    </row>
    <row r="67" spans="2:7" ht="48" x14ac:dyDescent="0.2">
      <c r="B67" s="3" t="s">
        <v>4952</v>
      </c>
      <c r="C67" t="s">
        <v>2927</v>
      </c>
      <c r="D67"/>
      <c r="F67">
        <f t="shared" ref="F67:G101" si="1">IF(D67="",0,1)</f>
        <v>0</v>
      </c>
      <c r="G67">
        <f t="shared" si="1"/>
        <v>0</v>
      </c>
    </row>
    <row r="68" spans="2:7" ht="48" x14ac:dyDescent="0.2">
      <c r="B68" s="3" t="s">
        <v>4953</v>
      </c>
      <c r="C68" t="s">
        <v>4059</v>
      </c>
      <c r="D68"/>
      <c r="F68">
        <f t="shared" si="1"/>
        <v>0</v>
      </c>
      <c r="G68">
        <f t="shared" si="1"/>
        <v>0</v>
      </c>
    </row>
    <row r="69" spans="2:7" ht="32" x14ac:dyDescent="0.2">
      <c r="B69" s="3" t="s">
        <v>4954</v>
      </c>
      <c r="C69" t="s">
        <v>405</v>
      </c>
      <c r="D69"/>
      <c r="F69">
        <f t="shared" si="1"/>
        <v>0</v>
      </c>
      <c r="G69">
        <f t="shared" si="1"/>
        <v>0</v>
      </c>
    </row>
    <row r="70" spans="2:7" ht="32" x14ac:dyDescent="0.2">
      <c r="B70" s="3" t="s">
        <v>4955</v>
      </c>
      <c r="C70" t="s">
        <v>184</v>
      </c>
      <c r="D70"/>
      <c r="F70">
        <f t="shared" si="1"/>
        <v>0</v>
      </c>
      <c r="G70">
        <f t="shared" si="1"/>
        <v>0</v>
      </c>
    </row>
    <row r="71" spans="2:7" ht="48" x14ac:dyDescent="0.2">
      <c r="B71" s="3" t="s">
        <v>4956</v>
      </c>
      <c r="C71" t="s">
        <v>4957</v>
      </c>
      <c r="D71"/>
      <c r="F71">
        <f t="shared" si="1"/>
        <v>0</v>
      </c>
      <c r="G71">
        <f t="shared" si="1"/>
        <v>0</v>
      </c>
    </row>
    <row r="72" spans="2:7" ht="48" x14ac:dyDescent="0.2">
      <c r="B72" s="3" t="s">
        <v>4958</v>
      </c>
      <c r="C72" t="s">
        <v>4959</v>
      </c>
      <c r="D72"/>
      <c r="F72">
        <f t="shared" si="1"/>
        <v>0</v>
      </c>
      <c r="G72">
        <f t="shared" si="1"/>
        <v>0</v>
      </c>
    </row>
    <row r="73" spans="2:7" ht="48" x14ac:dyDescent="0.2">
      <c r="B73" s="3" t="s">
        <v>4960</v>
      </c>
      <c r="C73" t="s">
        <v>77</v>
      </c>
      <c r="D73"/>
      <c r="F73">
        <f t="shared" si="1"/>
        <v>0</v>
      </c>
      <c r="G73">
        <f t="shared" si="1"/>
        <v>0</v>
      </c>
    </row>
    <row r="74" spans="2:7" ht="48" x14ac:dyDescent="0.2">
      <c r="B74" s="3" t="s">
        <v>4961</v>
      </c>
      <c r="C74" t="s">
        <v>17</v>
      </c>
      <c r="D74"/>
      <c r="F74">
        <f t="shared" si="1"/>
        <v>0</v>
      </c>
      <c r="G74">
        <f t="shared" si="1"/>
        <v>0</v>
      </c>
    </row>
    <row r="75" spans="2:7" ht="48" x14ac:dyDescent="0.2">
      <c r="B75" s="3" t="s">
        <v>4962</v>
      </c>
      <c r="C75" t="s">
        <v>4963</v>
      </c>
      <c r="D75"/>
      <c r="F75">
        <f t="shared" si="1"/>
        <v>0</v>
      </c>
      <c r="G75">
        <f t="shared" si="1"/>
        <v>0</v>
      </c>
    </row>
    <row r="76" spans="2:7" ht="48" x14ac:dyDescent="0.2">
      <c r="B76" s="3" t="s">
        <v>4964</v>
      </c>
      <c r="C76" t="s">
        <v>4965</v>
      </c>
      <c r="D76"/>
      <c r="F76">
        <f t="shared" si="1"/>
        <v>0</v>
      </c>
      <c r="G76">
        <f t="shared" si="1"/>
        <v>0</v>
      </c>
    </row>
    <row r="77" spans="2:7" ht="48" x14ac:dyDescent="0.2">
      <c r="B77" s="3" t="s">
        <v>4966</v>
      </c>
      <c r="C77" t="s">
        <v>4967</v>
      </c>
      <c r="D77"/>
      <c r="F77">
        <f t="shared" si="1"/>
        <v>0</v>
      </c>
      <c r="G77">
        <f t="shared" si="1"/>
        <v>0</v>
      </c>
    </row>
    <row r="78" spans="2:7" ht="48" x14ac:dyDescent="0.2">
      <c r="B78" s="3" t="s">
        <v>4968</v>
      </c>
      <c r="C78" t="s">
        <v>10</v>
      </c>
      <c r="D78"/>
      <c r="F78">
        <f t="shared" si="1"/>
        <v>0</v>
      </c>
      <c r="G78">
        <f t="shared" si="1"/>
        <v>0</v>
      </c>
    </row>
    <row r="79" spans="2:7" ht="32" x14ac:dyDescent="0.2">
      <c r="B79" s="3" t="s">
        <v>4969</v>
      </c>
      <c r="C79" t="s">
        <v>2933</v>
      </c>
      <c r="D79"/>
      <c r="F79">
        <f t="shared" si="1"/>
        <v>0</v>
      </c>
      <c r="G79">
        <f t="shared" si="1"/>
        <v>0</v>
      </c>
    </row>
    <row r="80" spans="2:7" ht="48" x14ac:dyDescent="0.2">
      <c r="B80" s="3" t="s">
        <v>4970</v>
      </c>
      <c r="C80" t="s">
        <v>4971</v>
      </c>
      <c r="D80"/>
      <c r="F80">
        <f t="shared" si="1"/>
        <v>0</v>
      </c>
      <c r="G80">
        <f t="shared" si="1"/>
        <v>0</v>
      </c>
    </row>
    <row r="81" spans="2:7" ht="32" x14ac:dyDescent="0.2">
      <c r="B81" s="3" t="s">
        <v>4972</v>
      </c>
      <c r="C81" t="s">
        <v>4184</v>
      </c>
      <c r="D81"/>
      <c r="F81">
        <f t="shared" si="1"/>
        <v>0</v>
      </c>
      <c r="G81">
        <f t="shared" si="1"/>
        <v>0</v>
      </c>
    </row>
    <row r="82" spans="2:7" ht="48" x14ac:dyDescent="0.2">
      <c r="B82" s="3" t="s">
        <v>4973</v>
      </c>
      <c r="C82" t="s">
        <v>224</v>
      </c>
      <c r="D82"/>
      <c r="F82">
        <f t="shared" si="1"/>
        <v>0</v>
      </c>
      <c r="G82">
        <f t="shared" si="1"/>
        <v>0</v>
      </c>
    </row>
    <row r="83" spans="2:7" ht="48" x14ac:dyDescent="0.2">
      <c r="B83" s="3" t="s">
        <v>4974</v>
      </c>
      <c r="C83" t="s">
        <v>4975</v>
      </c>
      <c r="D83"/>
      <c r="F83">
        <f t="shared" si="1"/>
        <v>0</v>
      </c>
      <c r="G83">
        <f t="shared" si="1"/>
        <v>0</v>
      </c>
    </row>
    <row r="84" spans="2:7" ht="32" x14ac:dyDescent="0.2">
      <c r="B84" s="3" t="s">
        <v>4976</v>
      </c>
      <c r="C84" t="s">
        <v>2688</v>
      </c>
      <c r="D84"/>
      <c r="F84">
        <f t="shared" si="1"/>
        <v>0</v>
      </c>
      <c r="G84">
        <f t="shared" si="1"/>
        <v>0</v>
      </c>
    </row>
    <row r="85" spans="2:7" ht="48" x14ac:dyDescent="0.2">
      <c r="B85" s="3" t="s">
        <v>4977</v>
      </c>
      <c r="C85" t="s">
        <v>4978</v>
      </c>
      <c r="D85"/>
      <c r="F85">
        <f t="shared" si="1"/>
        <v>0</v>
      </c>
      <c r="G85">
        <f t="shared" si="1"/>
        <v>0</v>
      </c>
    </row>
    <row r="86" spans="2:7" ht="48" x14ac:dyDescent="0.2">
      <c r="B86" s="3" t="s">
        <v>4979</v>
      </c>
      <c r="C86" t="s">
        <v>904</v>
      </c>
      <c r="D86"/>
      <c r="F86">
        <f t="shared" si="1"/>
        <v>0</v>
      </c>
      <c r="G86">
        <f t="shared" si="1"/>
        <v>0</v>
      </c>
    </row>
    <row r="87" spans="2:7" ht="48" x14ac:dyDescent="0.2">
      <c r="B87" s="3" t="s">
        <v>4980</v>
      </c>
      <c r="C87" t="s">
        <v>4981</v>
      </c>
      <c r="D87"/>
      <c r="F87">
        <f t="shared" si="1"/>
        <v>0</v>
      </c>
      <c r="G87">
        <f t="shared" si="1"/>
        <v>0</v>
      </c>
    </row>
    <row r="88" spans="2:7" ht="48" x14ac:dyDescent="0.2">
      <c r="B88" s="3" t="s">
        <v>4982</v>
      </c>
      <c r="C88" t="s">
        <v>4263</v>
      </c>
      <c r="D88"/>
      <c r="F88">
        <f t="shared" si="1"/>
        <v>0</v>
      </c>
      <c r="G88">
        <f t="shared" si="1"/>
        <v>0</v>
      </c>
    </row>
    <row r="89" spans="2:7" ht="32" x14ac:dyDescent="0.2">
      <c r="B89" s="3" t="s">
        <v>4983</v>
      </c>
      <c r="C89" t="s">
        <v>3331</v>
      </c>
      <c r="D89"/>
      <c r="F89">
        <f t="shared" si="1"/>
        <v>0</v>
      </c>
      <c r="G89">
        <f t="shared" si="1"/>
        <v>0</v>
      </c>
    </row>
    <row r="90" spans="2:7" ht="48" x14ac:dyDescent="0.2">
      <c r="B90" s="3" t="s">
        <v>4984</v>
      </c>
      <c r="C90" t="s">
        <v>163</v>
      </c>
      <c r="D90"/>
      <c r="F90">
        <f t="shared" si="1"/>
        <v>0</v>
      </c>
      <c r="G90">
        <f t="shared" si="1"/>
        <v>0</v>
      </c>
    </row>
    <row r="91" spans="2:7" ht="48" x14ac:dyDescent="0.2">
      <c r="B91" s="3" t="s">
        <v>4985</v>
      </c>
      <c r="C91" t="s">
        <v>158</v>
      </c>
      <c r="D91"/>
      <c r="F91">
        <f t="shared" si="1"/>
        <v>0</v>
      </c>
      <c r="G91">
        <f t="shared" si="1"/>
        <v>0</v>
      </c>
    </row>
    <row r="92" spans="2:7" ht="48" x14ac:dyDescent="0.2">
      <c r="B92" s="3" t="s">
        <v>4986</v>
      </c>
      <c r="C92" t="s">
        <v>4987</v>
      </c>
      <c r="D92"/>
      <c r="F92">
        <f t="shared" si="1"/>
        <v>0</v>
      </c>
      <c r="G92">
        <f t="shared" si="1"/>
        <v>0</v>
      </c>
    </row>
    <row r="93" spans="2:7" ht="32" x14ac:dyDescent="0.2">
      <c r="B93" s="3" t="s">
        <v>4988</v>
      </c>
      <c r="C93" t="s">
        <v>2096</v>
      </c>
      <c r="D93"/>
      <c r="F93">
        <f t="shared" si="1"/>
        <v>0</v>
      </c>
      <c r="G93">
        <f t="shared" si="1"/>
        <v>0</v>
      </c>
    </row>
    <row r="94" spans="2:7" ht="48" x14ac:dyDescent="0.2">
      <c r="B94" s="3" t="s">
        <v>4989</v>
      </c>
      <c r="C94" t="s">
        <v>4990</v>
      </c>
      <c r="D94"/>
      <c r="F94">
        <f t="shared" si="1"/>
        <v>0</v>
      </c>
      <c r="G94">
        <f t="shared" si="1"/>
        <v>0</v>
      </c>
    </row>
    <row r="95" spans="2:7" ht="48" x14ac:dyDescent="0.2">
      <c r="B95" s="3" t="s">
        <v>4991</v>
      </c>
      <c r="C95" t="s">
        <v>184</v>
      </c>
      <c r="D95"/>
      <c r="F95">
        <f t="shared" si="1"/>
        <v>0</v>
      </c>
      <c r="G95">
        <f t="shared" si="1"/>
        <v>0</v>
      </c>
    </row>
    <row r="96" spans="2:7" ht="48" x14ac:dyDescent="0.2">
      <c r="B96" s="3" t="s">
        <v>4992</v>
      </c>
      <c r="C96" t="s">
        <v>17</v>
      </c>
      <c r="D96"/>
      <c r="F96">
        <f t="shared" si="1"/>
        <v>0</v>
      </c>
      <c r="G96">
        <f t="shared" si="1"/>
        <v>0</v>
      </c>
    </row>
    <row r="97" spans="2:7" ht="32" x14ac:dyDescent="0.2">
      <c r="B97" s="3" t="s">
        <v>4993</v>
      </c>
      <c r="C97" t="s">
        <v>17</v>
      </c>
      <c r="D97"/>
      <c r="F97">
        <f t="shared" si="1"/>
        <v>0</v>
      </c>
      <c r="G97">
        <f t="shared" si="1"/>
        <v>0</v>
      </c>
    </row>
    <row r="98" spans="2:7" ht="48" x14ac:dyDescent="0.2">
      <c r="B98" s="3" t="s">
        <v>4994</v>
      </c>
      <c r="C98" t="s">
        <v>84</v>
      </c>
      <c r="D98"/>
      <c r="F98">
        <f t="shared" si="1"/>
        <v>0</v>
      </c>
      <c r="G98">
        <f t="shared" si="1"/>
        <v>0</v>
      </c>
    </row>
    <row r="99" spans="2:7" ht="48" x14ac:dyDescent="0.2">
      <c r="B99" s="3" t="s">
        <v>4995</v>
      </c>
      <c r="C99" t="s">
        <v>269</v>
      </c>
      <c r="D99"/>
      <c r="F99">
        <f t="shared" si="1"/>
        <v>0</v>
      </c>
      <c r="G99">
        <f t="shared" si="1"/>
        <v>0</v>
      </c>
    </row>
    <row r="100" spans="2:7" ht="32" x14ac:dyDescent="0.2">
      <c r="B100" s="3" t="s">
        <v>4996</v>
      </c>
      <c r="C100" t="s">
        <v>17</v>
      </c>
      <c r="D100"/>
      <c r="F100">
        <f t="shared" si="1"/>
        <v>0</v>
      </c>
      <c r="G100">
        <f t="shared" si="1"/>
        <v>0</v>
      </c>
    </row>
    <row r="101" spans="2:7" ht="48" x14ac:dyDescent="0.2">
      <c r="B101" s="3" t="s">
        <v>4997</v>
      </c>
      <c r="C101" t="s">
        <v>4998</v>
      </c>
      <c r="D101"/>
      <c r="F101">
        <f t="shared" si="1"/>
        <v>0</v>
      </c>
      <c r="G101">
        <f t="shared" si="1"/>
        <v>0</v>
      </c>
    </row>
    <row r="103" spans="2:7" x14ac:dyDescent="0.2">
      <c r="F103" s="10">
        <f>SUM(F2:F101)</f>
        <v>5</v>
      </c>
      <c r="G103" s="10">
        <f>SUM(G2:G101)</f>
        <v>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FB61-039B-6B41-9092-7AD7B59F1F7B}">
  <dimension ref="A1:G103"/>
  <sheetViews>
    <sheetView topLeftCell="A94" zoomScale="160" zoomScaleNormal="160" workbookViewId="0">
      <selection activeCell="E103" sqref="E103"/>
    </sheetView>
  </sheetViews>
  <sheetFormatPr baseColWidth="10" defaultColWidth="10.6640625" defaultRowHeight="15" x14ac:dyDescent="0.2"/>
  <cols>
    <col min="1" max="1" width="10.6640625" style="3"/>
    <col min="2" max="2" width="53.1640625" style="7" customWidth="1"/>
    <col min="4" max="4" width="10.6640625" style="9"/>
  </cols>
  <sheetData>
    <row r="1" spans="1:7" ht="16" x14ac:dyDescent="0.2">
      <c r="A1" s="2" t="s">
        <v>0</v>
      </c>
      <c r="B1" s="2" t="s">
        <v>0</v>
      </c>
      <c r="C1" s="1" t="s">
        <v>1</v>
      </c>
      <c r="D1" s="8" t="s">
        <v>44</v>
      </c>
      <c r="E1" s="1" t="s">
        <v>45</v>
      </c>
      <c r="F1" s="1" t="s">
        <v>44</v>
      </c>
      <c r="G1" s="1" t="s">
        <v>45</v>
      </c>
    </row>
    <row r="2" spans="1:7" ht="48" x14ac:dyDescent="0.2">
      <c r="B2" s="3" t="s">
        <v>4999</v>
      </c>
      <c r="C2" t="s">
        <v>66</v>
      </c>
      <c r="D2"/>
      <c r="F2">
        <f>IF(D2="",0,1)</f>
        <v>0</v>
      </c>
      <c r="G2">
        <f>IF(E2="",0,1)</f>
        <v>0</v>
      </c>
    </row>
    <row r="3" spans="1:7" ht="48" x14ac:dyDescent="0.2">
      <c r="B3" s="3" t="s">
        <v>5000</v>
      </c>
      <c r="C3" t="s">
        <v>5001</v>
      </c>
      <c r="D3"/>
      <c r="F3">
        <f t="shared" ref="F3:G66" si="0">IF(D3="",0,1)</f>
        <v>0</v>
      </c>
      <c r="G3">
        <f t="shared" si="0"/>
        <v>0</v>
      </c>
    </row>
    <row r="4" spans="1:7" ht="48" x14ac:dyDescent="0.2">
      <c r="B4" s="3" t="s">
        <v>5002</v>
      </c>
      <c r="C4" t="s">
        <v>35</v>
      </c>
      <c r="D4"/>
      <c r="F4">
        <f t="shared" si="0"/>
        <v>0</v>
      </c>
      <c r="G4">
        <f t="shared" si="0"/>
        <v>0</v>
      </c>
    </row>
    <row r="5" spans="1:7" ht="48" x14ac:dyDescent="0.2">
      <c r="B5" s="3" t="s">
        <v>5003</v>
      </c>
      <c r="C5" t="s">
        <v>4621</v>
      </c>
      <c r="D5"/>
      <c r="F5">
        <f t="shared" si="0"/>
        <v>0</v>
      </c>
      <c r="G5">
        <f t="shared" si="0"/>
        <v>0</v>
      </c>
    </row>
    <row r="6" spans="1:7" ht="32" x14ac:dyDescent="0.2">
      <c r="B6" s="3" t="s">
        <v>5004</v>
      </c>
      <c r="C6" t="s">
        <v>5005</v>
      </c>
      <c r="D6"/>
      <c r="F6">
        <f t="shared" si="0"/>
        <v>0</v>
      </c>
      <c r="G6">
        <f t="shared" si="0"/>
        <v>0</v>
      </c>
    </row>
    <row r="7" spans="1:7" ht="48" x14ac:dyDescent="0.2">
      <c r="B7" s="3" t="s">
        <v>5006</v>
      </c>
      <c r="C7" t="s">
        <v>11</v>
      </c>
      <c r="D7"/>
      <c r="F7">
        <f t="shared" si="0"/>
        <v>0</v>
      </c>
      <c r="G7">
        <f t="shared" si="0"/>
        <v>0</v>
      </c>
    </row>
    <row r="8" spans="1:7" ht="48" x14ac:dyDescent="0.2">
      <c r="B8" s="3" t="s">
        <v>5007</v>
      </c>
      <c r="C8" t="s">
        <v>5008</v>
      </c>
      <c r="D8"/>
      <c r="F8">
        <f t="shared" si="0"/>
        <v>0</v>
      </c>
      <c r="G8">
        <f t="shared" si="0"/>
        <v>0</v>
      </c>
    </row>
    <row r="9" spans="1:7" ht="48" x14ac:dyDescent="0.2">
      <c r="B9" s="3" t="s">
        <v>5009</v>
      </c>
      <c r="C9" t="s">
        <v>5</v>
      </c>
      <c r="D9"/>
      <c r="F9">
        <f t="shared" si="0"/>
        <v>0</v>
      </c>
      <c r="G9">
        <f t="shared" si="0"/>
        <v>0</v>
      </c>
    </row>
    <row r="10" spans="1:7" ht="32" x14ac:dyDescent="0.2">
      <c r="B10" s="3" t="s">
        <v>5010</v>
      </c>
      <c r="C10" t="s">
        <v>5011</v>
      </c>
      <c r="D10" t="s">
        <v>5128</v>
      </c>
      <c r="E10" t="s">
        <v>1020</v>
      </c>
      <c r="F10">
        <f t="shared" si="0"/>
        <v>1</v>
      </c>
      <c r="G10">
        <f t="shared" si="0"/>
        <v>1</v>
      </c>
    </row>
    <row r="11" spans="1:7" ht="48" x14ac:dyDescent="0.2">
      <c r="B11" s="3" t="s">
        <v>5012</v>
      </c>
      <c r="C11" t="s">
        <v>3646</v>
      </c>
      <c r="D11"/>
      <c r="F11">
        <f t="shared" si="0"/>
        <v>0</v>
      </c>
      <c r="G11">
        <f t="shared" si="0"/>
        <v>0</v>
      </c>
    </row>
    <row r="12" spans="1:7" ht="48" x14ac:dyDescent="0.2">
      <c r="B12" s="3" t="s">
        <v>5013</v>
      </c>
      <c r="C12" t="s">
        <v>294</v>
      </c>
      <c r="D12"/>
      <c r="F12">
        <f t="shared" si="0"/>
        <v>0</v>
      </c>
      <c r="G12">
        <f t="shared" si="0"/>
        <v>0</v>
      </c>
    </row>
    <row r="13" spans="1:7" ht="48" x14ac:dyDescent="0.2">
      <c r="B13" s="3" t="s">
        <v>5014</v>
      </c>
      <c r="C13" t="s">
        <v>8</v>
      </c>
      <c r="D13"/>
      <c r="F13">
        <f t="shared" si="0"/>
        <v>0</v>
      </c>
      <c r="G13">
        <f t="shared" si="0"/>
        <v>0</v>
      </c>
    </row>
    <row r="14" spans="1:7" ht="48" x14ac:dyDescent="0.2">
      <c r="B14" s="3" t="s">
        <v>5015</v>
      </c>
      <c r="C14" t="s">
        <v>1389</v>
      </c>
      <c r="D14"/>
      <c r="F14">
        <f t="shared" si="0"/>
        <v>0</v>
      </c>
      <c r="G14">
        <f t="shared" si="0"/>
        <v>0</v>
      </c>
    </row>
    <row r="15" spans="1:7" ht="48" x14ac:dyDescent="0.2">
      <c r="B15" s="3" t="s">
        <v>5016</v>
      </c>
      <c r="C15" t="s">
        <v>4179</v>
      </c>
      <c r="D15"/>
      <c r="F15">
        <f t="shared" si="0"/>
        <v>0</v>
      </c>
      <c r="G15">
        <f t="shared" si="0"/>
        <v>0</v>
      </c>
    </row>
    <row r="16" spans="1:7" ht="48" x14ac:dyDescent="0.2">
      <c r="B16" s="3" t="s">
        <v>5017</v>
      </c>
      <c r="C16" t="s">
        <v>37</v>
      </c>
      <c r="D16"/>
      <c r="F16">
        <f t="shared" si="0"/>
        <v>0</v>
      </c>
      <c r="G16">
        <f t="shared" si="0"/>
        <v>0</v>
      </c>
    </row>
    <row r="17" spans="2:7" ht="48" x14ac:dyDescent="0.2">
      <c r="B17" s="3" t="s">
        <v>5018</v>
      </c>
      <c r="C17" t="s">
        <v>134</v>
      </c>
      <c r="D17"/>
      <c r="F17">
        <f t="shared" si="0"/>
        <v>0</v>
      </c>
      <c r="G17">
        <f t="shared" si="0"/>
        <v>0</v>
      </c>
    </row>
    <row r="18" spans="2:7" ht="48" x14ac:dyDescent="0.2">
      <c r="B18" s="3" t="s">
        <v>5019</v>
      </c>
      <c r="C18" t="s">
        <v>5020</v>
      </c>
      <c r="D18"/>
      <c r="F18">
        <f t="shared" si="0"/>
        <v>0</v>
      </c>
      <c r="G18">
        <f t="shared" si="0"/>
        <v>0</v>
      </c>
    </row>
    <row r="19" spans="2:7" ht="48" x14ac:dyDescent="0.2">
      <c r="B19" s="3" t="s">
        <v>5021</v>
      </c>
      <c r="C19" t="s">
        <v>62</v>
      </c>
      <c r="D19"/>
      <c r="F19">
        <f t="shared" si="0"/>
        <v>0</v>
      </c>
      <c r="G19">
        <f t="shared" si="0"/>
        <v>0</v>
      </c>
    </row>
    <row r="20" spans="2:7" ht="48" x14ac:dyDescent="0.2">
      <c r="B20" s="3" t="s">
        <v>5022</v>
      </c>
      <c r="C20" t="s">
        <v>37</v>
      </c>
      <c r="D20"/>
      <c r="F20">
        <f t="shared" si="0"/>
        <v>0</v>
      </c>
      <c r="G20">
        <f t="shared" si="0"/>
        <v>0</v>
      </c>
    </row>
    <row r="21" spans="2:7" ht="48" x14ac:dyDescent="0.2">
      <c r="B21" s="3" t="s">
        <v>5023</v>
      </c>
      <c r="C21" t="s">
        <v>5024</v>
      </c>
      <c r="D21"/>
      <c r="F21">
        <f t="shared" si="0"/>
        <v>0</v>
      </c>
      <c r="G21">
        <f t="shared" si="0"/>
        <v>0</v>
      </c>
    </row>
    <row r="22" spans="2:7" ht="48" x14ac:dyDescent="0.2">
      <c r="B22" s="3" t="s">
        <v>5025</v>
      </c>
      <c r="C22" t="s">
        <v>5026</v>
      </c>
      <c r="D22"/>
      <c r="F22">
        <f t="shared" si="0"/>
        <v>0</v>
      </c>
      <c r="G22">
        <f t="shared" si="0"/>
        <v>0</v>
      </c>
    </row>
    <row r="23" spans="2:7" ht="48" x14ac:dyDescent="0.2">
      <c r="B23" s="3" t="s">
        <v>5027</v>
      </c>
      <c r="C23" t="s">
        <v>2921</v>
      </c>
      <c r="D23"/>
      <c r="F23">
        <f t="shared" si="0"/>
        <v>0</v>
      </c>
      <c r="G23">
        <f t="shared" si="0"/>
        <v>0</v>
      </c>
    </row>
    <row r="24" spans="2:7" ht="48" x14ac:dyDescent="0.2">
      <c r="B24" s="3" t="s">
        <v>5028</v>
      </c>
      <c r="C24" t="s">
        <v>3147</v>
      </c>
      <c r="D24"/>
      <c r="F24">
        <f t="shared" si="0"/>
        <v>0</v>
      </c>
      <c r="G24">
        <f t="shared" si="0"/>
        <v>0</v>
      </c>
    </row>
    <row r="25" spans="2:7" ht="64" x14ac:dyDescent="0.2">
      <c r="B25" s="3" t="s">
        <v>5029</v>
      </c>
      <c r="C25" t="s">
        <v>1867</v>
      </c>
      <c r="D25"/>
      <c r="F25">
        <f t="shared" si="0"/>
        <v>0</v>
      </c>
      <c r="G25">
        <f t="shared" si="0"/>
        <v>0</v>
      </c>
    </row>
    <row r="26" spans="2:7" ht="48" x14ac:dyDescent="0.2">
      <c r="B26" s="3" t="s">
        <v>5030</v>
      </c>
      <c r="C26" t="s">
        <v>5031</v>
      </c>
      <c r="D26"/>
      <c r="F26">
        <f t="shared" si="0"/>
        <v>0</v>
      </c>
      <c r="G26">
        <f t="shared" si="0"/>
        <v>0</v>
      </c>
    </row>
    <row r="27" spans="2:7" ht="48" x14ac:dyDescent="0.2">
      <c r="B27" s="3" t="s">
        <v>5032</v>
      </c>
      <c r="C27" t="s">
        <v>61</v>
      </c>
      <c r="D27"/>
      <c r="F27">
        <f t="shared" si="0"/>
        <v>0</v>
      </c>
      <c r="G27">
        <f t="shared" si="0"/>
        <v>0</v>
      </c>
    </row>
    <row r="28" spans="2:7" ht="48" x14ac:dyDescent="0.2">
      <c r="B28" s="3" t="s">
        <v>5033</v>
      </c>
      <c r="C28" t="s">
        <v>4316</v>
      </c>
      <c r="D28"/>
      <c r="F28">
        <f t="shared" si="0"/>
        <v>0</v>
      </c>
      <c r="G28">
        <f t="shared" si="0"/>
        <v>0</v>
      </c>
    </row>
    <row r="29" spans="2:7" ht="48" x14ac:dyDescent="0.2">
      <c r="B29" s="3" t="s">
        <v>5034</v>
      </c>
      <c r="C29" t="s">
        <v>4990</v>
      </c>
      <c r="D29"/>
      <c r="F29">
        <f t="shared" si="0"/>
        <v>0</v>
      </c>
      <c r="G29">
        <f t="shared" si="0"/>
        <v>0</v>
      </c>
    </row>
    <row r="30" spans="2:7" ht="48" x14ac:dyDescent="0.2">
      <c r="B30" s="3" t="s">
        <v>5035</v>
      </c>
      <c r="C30" t="s">
        <v>109</v>
      </c>
      <c r="D30"/>
      <c r="F30">
        <f t="shared" si="0"/>
        <v>0</v>
      </c>
      <c r="G30">
        <f t="shared" si="0"/>
        <v>0</v>
      </c>
    </row>
    <row r="31" spans="2:7" ht="48" x14ac:dyDescent="0.2">
      <c r="B31" s="3" t="s">
        <v>5036</v>
      </c>
      <c r="C31" t="s">
        <v>5037</v>
      </c>
      <c r="D31" t="s">
        <v>195</v>
      </c>
      <c r="F31">
        <f t="shared" si="0"/>
        <v>1</v>
      </c>
      <c r="G31">
        <f t="shared" si="0"/>
        <v>0</v>
      </c>
    </row>
    <row r="32" spans="2:7" ht="48" x14ac:dyDescent="0.2">
      <c r="B32" s="3" t="s">
        <v>5038</v>
      </c>
      <c r="C32" t="s">
        <v>131</v>
      </c>
      <c r="D32"/>
      <c r="F32">
        <f t="shared" si="0"/>
        <v>0</v>
      </c>
      <c r="G32">
        <f t="shared" si="0"/>
        <v>0</v>
      </c>
    </row>
    <row r="33" spans="2:7" ht="48" x14ac:dyDescent="0.2">
      <c r="B33" s="3" t="s">
        <v>5039</v>
      </c>
      <c r="C33" t="s">
        <v>3499</v>
      </c>
      <c r="D33"/>
      <c r="F33">
        <f t="shared" si="0"/>
        <v>0</v>
      </c>
      <c r="G33">
        <f t="shared" si="0"/>
        <v>0</v>
      </c>
    </row>
    <row r="34" spans="2:7" ht="48" x14ac:dyDescent="0.2">
      <c r="B34" s="3" t="s">
        <v>5040</v>
      </c>
      <c r="C34" t="s">
        <v>172</v>
      </c>
      <c r="D34"/>
      <c r="F34">
        <f t="shared" si="0"/>
        <v>0</v>
      </c>
      <c r="G34">
        <f t="shared" si="0"/>
        <v>0</v>
      </c>
    </row>
    <row r="35" spans="2:7" ht="48" x14ac:dyDescent="0.2">
      <c r="B35" s="3" t="s">
        <v>5041</v>
      </c>
      <c r="C35" t="s">
        <v>3938</v>
      </c>
      <c r="D35"/>
      <c r="F35">
        <f t="shared" si="0"/>
        <v>0</v>
      </c>
      <c r="G35">
        <f t="shared" si="0"/>
        <v>0</v>
      </c>
    </row>
    <row r="36" spans="2:7" ht="48" x14ac:dyDescent="0.2">
      <c r="B36" s="3" t="s">
        <v>5042</v>
      </c>
      <c r="C36" t="s">
        <v>238</v>
      </c>
      <c r="D36"/>
      <c r="F36">
        <f t="shared" si="0"/>
        <v>0</v>
      </c>
      <c r="G36">
        <f t="shared" si="0"/>
        <v>0</v>
      </c>
    </row>
    <row r="37" spans="2:7" ht="48" x14ac:dyDescent="0.2">
      <c r="B37" s="3" t="s">
        <v>5043</v>
      </c>
      <c r="C37" t="s">
        <v>4320</v>
      </c>
      <c r="D37"/>
      <c r="F37">
        <f t="shared" si="0"/>
        <v>0</v>
      </c>
      <c r="G37">
        <f t="shared" si="0"/>
        <v>0</v>
      </c>
    </row>
    <row r="38" spans="2:7" ht="48" x14ac:dyDescent="0.2">
      <c r="B38" s="3" t="s">
        <v>5044</v>
      </c>
      <c r="C38" t="s">
        <v>3641</v>
      </c>
      <c r="D38"/>
      <c r="F38">
        <f t="shared" si="0"/>
        <v>0</v>
      </c>
      <c r="G38">
        <f t="shared" si="0"/>
        <v>0</v>
      </c>
    </row>
    <row r="39" spans="2:7" ht="48" x14ac:dyDescent="0.2">
      <c r="B39" s="3" t="s">
        <v>5045</v>
      </c>
      <c r="C39" t="s">
        <v>2</v>
      </c>
      <c r="D39"/>
      <c r="F39">
        <f t="shared" si="0"/>
        <v>0</v>
      </c>
      <c r="G39">
        <f t="shared" si="0"/>
        <v>0</v>
      </c>
    </row>
    <row r="40" spans="2:7" ht="48" x14ac:dyDescent="0.2">
      <c r="B40" s="3" t="s">
        <v>5046</v>
      </c>
      <c r="C40" t="s">
        <v>3670</v>
      </c>
      <c r="D40"/>
      <c r="F40">
        <f t="shared" si="0"/>
        <v>0</v>
      </c>
      <c r="G40">
        <f t="shared" si="0"/>
        <v>0</v>
      </c>
    </row>
    <row r="41" spans="2:7" ht="48" x14ac:dyDescent="0.2">
      <c r="B41" s="3" t="s">
        <v>5047</v>
      </c>
      <c r="C41" t="s">
        <v>2</v>
      </c>
      <c r="D41"/>
      <c r="F41">
        <f t="shared" si="0"/>
        <v>0</v>
      </c>
      <c r="G41">
        <f t="shared" si="0"/>
        <v>0</v>
      </c>
    </row>
    <row r="42" spans="2:7" ht="48" x14ac:dyDescent="0.2">
      <c r="B42" s="3" t="s">
        <v>5048</v>
      </c>
      <c r="C42" t="s">
        <v>4619</v>
      </c>
      <c r="D42"/>
      <c r="F42">
        <f t="shared" si="0"/>
        <v>0</v>
      </c>
      <c r="G42">
        <f t="shared" si="0"/>
        <v>0</v>
      </c>
    </row>
    <row r="43" spans="2:7" ht="48" x14ac:dyDescent="0.2">
      <c r="B43" s="3" t="s">
        <v>5049</v>
      </c>
      <c r="C43" t="s">
        <v>246</v>
      </c>
      <c r="D43"/>
      <c r="F43">
        <f t="shared" si="0"/>
        <v>0</v>
      </c>
      <c r="G43">
        <f t="shared" si="0"/>
        <v>0</v>
      </c>
    </row>
    <row r="44" spans="2:7" ht="48" x14ac:dyDescent="0.2">
      <c r="B44" s="3" t="s">
        <v>5050</v>
      </c>
      <c r="C44" t="s">
        <v>150</v>
      </c>
      <c r="D44"/>
      <c r="F44">
        <f t="shared" si="0"/>
        <v>0</v>
      </c>
      <c r="G44">
        <f t="shared" si="0"/>
        <v>0</v>
      </c>
    </row>
    <row r="45" spans="2:7" ht="48" x14ac:dyDescent="0.2">
      <c r="B45" s="3" t="s">
        <v>5051</v>
      </c>
      <c r="C45" t="s">
        <v>5052</v>
      </c>
      <c r="D45"/>
      <c r="F45">
        <f t="shared" si="0"/>
        <v>0</v>
      </c>
      <c r="G45">
        <f t="shared" si="0"/>
        <v>0</v>
      </c>
    </row>
    <row r="46" spans="2:7" ht="32" x14ac:dyDescent="0.2">
      <c r="B46" s="3" t="s">
        <v>5053</v>
      </c>
      <c r="C46" t="s">
        <v>5054</v>
      </c>
      <c r="D46"/>
      <c r="F46">
        <f t="shared" si="0"/>
        <v>0</v>
      </c>
      <c r="G46">
        <f t="shared" si="0"/>
        <v>0</v>
      </c>
    </row>
    <row r="47" spans="2:7" ht="48" x14ac:dyDescent="0.2">
      <c r="B47" s="3" t="s">
        <v>5055</v>
      </c>
      <c r="C47" t="s">
        <v>3829</v>
      </c>
      <c r="D47"/>
      <c r="F47">
        <f t="shared" si="0"/>
        <v>0</v>
      </c>
      <c r="G47">
        <f t="shared" si="0"/>
        <v>0</v>
      </c>
    </row>
    <row r="48" spans="2:7" ht="48" x14ac:dyDescent="0.2">
      <c r="B48" s="3" t="s">
        <v>5056</v>
      </c>
      <c r="C48" t="s">
        <v>4835</v>
      </c>
      <c r="D48"/>
      <c r="F48">
        <f t="shared" si="0"/>
        <v>0</v>
      </c>
      <c r="G48">
        <f t="shared" si="0"/>
        <v>0</v>
      </c>
    </row>
    <row r="49" spans="2:7" ht="48" x14ac:dyDescent="0.2">
      <c r="B49" s="3" t="s">
        <v>5057</v>
      </c>
      <c r="C49" t="s">
        <v>113</v>
      </c>
      <c r="D49"/>
      <c r="F49">
        <f t="shared" si="0"/>
        <v>0</v>
      </c>
      <c r="G49">
        <f t="shared" si="0"/>
        <v>0</v>
      </c>
    </row>
    <row r="50" spans="2:7" ht="48" x14ac:dyDescent="0.2">
      <c r="B50" s="3" t="s">
        <v>5058</v>
      </c>
      <c r="C50" t="s">
        <v>5059</v>
      </c>
      <c r="D50"/>
      <c r="F50">
        <f t="shared" si="0"/>
        <v>0</v>
      </c>
      <c r="G50">
        <f t="shared" si="0"/>
        <v>0</v>
      </c>
    </row>
    <row r="51" spans="2:7" ht="48" x14ac:dyDescent="0.2">
      <c r="B51" s="3" t="s">
        <v>5060</v>
      </c>
      <c r="C51" t="s">
        <v>2</v>
      </c>
      <c r="D51"/>
      <c r="F51">
        <f t="shared" si="0"/>
        <v>0</v>
      </c>
      <c r="G51">
        <f t="shared" si="0"/>
        <v>0</v>
      </c>
    </row>
    <row r="52" spans="2:7" ht="48" x14ac:dyDescent="0.2">
      <c r="B52" s="3" t="s">
        <v>5061</v>
      </c>
      <c r="C52" t="s">
        <v>5062</v>
      </c>
      <c r="D52"/>
      <c r="F52">
        <f t="shared" si="0"/>
        <v>0</v>
      </c>
      <c r="G52">
        <f t="shared" si="0"/>
        <v>0</v>
      </c>
    </row>
    <row r="53" spans="2:7" ht="48" x14ac:dyDescent="0.2">
      <c r="B53" s="3" t="s">
        <v>5063</v>
      </c>
      <c r="C53" t="s">
        <v>3957</v>
      </c>
      <c r="D53"/>
      <c r="F53">
        <f t="shared" si="0"/>
        <v>0</v>
      </c>
      <c r="G53">
        <f t="shared" si="0"/>
        <v>0</v>
      </c>
    </row>
    <row r="54" spans="2:7" ht="48" x14ac:dyDescent="0.2">
      <c r="B54" s="3" t="s">
        <v>5064</v>
      </c>
      <c r="C54" t="s">
        <v>5065</v>
      </c>
      <c r="D54"/>
      <c r="F54">
        <f t="shared" si="0"/>
        <v>0</v>
      </c>
      <c r="G54">
        <f t="shared" si="0"/>
        <v>0</v>
      </c>
    </row>
    <row r="55" spans="2:7" ht="48" x14ac:dyDescent="0.2">
      <c r="B55" s="3" t="s">
        <v>5066</v>
      </c>
      <c r="C55" t="s">
        <v>5067</v>
      </c>
      <c r="D55"/>
      <c r="F55">
        <f t="shared" si="0"/>
        <v>0</v>
      </c>
      <c r="G55">
        <f t="shared" si="0"/>
        <v>0</v>
      </c>
    </row>
    <row r="56" spans="2:7" ht="48" x14ac:dyDescent="0.2">
      <c r="B56" s="3" t="s">
        <v>5068</v>
      </c>
      <c r="C56" t="s">
        <v>5069</v>
      </c>
      <c r="D56"/>
      <c r="F56">
        <f t="shared" si="0"/>
        <v>0</v>
      </c>
      <c r="G56">
        <f t="shared" si="0"/>
        <v>0</v>
      </c>
    </row>
    <row r="57" spans="2:7" ht="48" x14ac:dyDescent="0.2">
      <c r="B57" s="3" t="s">
        <v>5070</v>
      </c>
      <c r="C57" t="s">
        <v>3664</v>
      </c>
      <c r="D57"/>
      <c r="F57">
        <f t="shared" si="0"/>
        <v>0</v>
      </c>
      <c r="G57">
        <f t="shared" si="0"/>
        <v>0</v>
      </c>
    </row>
    <row r="58" spans="2:7" ht="48" x14ac:dyDescent="0.2">
      <c r="B58" s="3" t="s">
        <v>5071</v>
      </c>
      <c r="C58" t="s">
        <v>1868</v>
      </c>
      <c r="D58" t="s">
        <v>4453</v>
      </c>
      <c r="F58">
        <f t="shared" si="0"/>
        <v>1</v>
      </c>
      <c r="G58">
        <f t="shared" si="0"/>
        <v>0</v>
      </c>
    </row>
    <row r="59" spans="2:7" ht="48" x14ac:dyDescent="0.2">
      <c r="B59" s="3" t="s">
        <v>5072</v>
      </c>
      <c r="C59" t="s">
        <v>64</v>
      </c>
      <c r="D59"/>
      <c r="F59">
        <f t="shared" si="0"/>
        <v>0</v>
      </c>
      <c r="G59">
        <f t="shared" si="0"/>
        <v>0</v>
      </c>
    </row>
    <row r="60" spans="2:7" ht="48" x14ac:dyDescent="0.2">
      <c r="B60" s="3" t="s">
        <v>5073</v>
      </c>
      <c r="C60" t="s">
        <v>4368</v>
      </c>
      <c r="D60"/>
      <c r="F60">
        <f t="shared" si="0"/>
        <v>0</v>
      </c>
      <c r="G60">
        <f t="shared" si="0"/>
        <v>0</v>
      </c>
    </row>
    <row r="61" spans="2:7" ht="48" x14ac:dyDescent="0.2">
      <c r="B61" s="3" t="s">
        <v>5074</v>
      </c>
      <c r="C61" t="s">
        <v>1862</v>
      </c>
      <c r="D61"/>
      <c r="F61">
        <f t="shared" si="0"/>
        <v>0</v>
      </c>
      <c r="G61">
        <f t="shared" si="0"/>
        <v>0</v>
      </c>
    </row>
    <row r="62" spans="2:7" ht="48" x14ac:dyDescent="0.2">
      <c r="B62" s="3" t="s">
        <v>5075</v>
      </c>
      <c r="C62" t="s">
        <v>4403</v>
      </c>
      <c r="D62"/>
      <c r="F62">
        <f t="shared" si="0"/>
        <v>0</v>
      </c>
      <c r="G62">
        <f t="shared" si="0"/>
        <v>0</v>
      </c>
    </row>
    <row r="63" spans="2:7" ht="48" x14ac:dyDescent="0.2">
      <c r="B63" s="3" t="s">
        <v>5076</v>
      </c>
      <c r="C63" t="s">
        <v>5077</v>
      </c>
      <c r="D63"/>
      <c r="F63">
        <f t="shared" si="0"/>
        <v>0</v>
      </c>
      <c r="G63">
        <f t="shared" si="0"/>
        <v>0</v>
      </c>
    </row>
    <row r="64" spans="2:7" ht="48" x14ac:dyDescent="0.2">
      <c r="B64" s="3" t="s">
        <v>5078</v>
      </c>
      <c r="C64" t="s">
        <v>5079</v>
      </c>
      <c r="D64"/>
      <c r="F64">
        <f t="shared" si="0"/>
        <v>0</v>
      </c>
      <c r="G64">
        <f t="shared" si="0"/>
        <v>0</v>
      </c>
    </row>
    <row r="65" spans="2:7" ht="48" x14ac:dyDescent="0.2">
      <c r="B65" s="3" t="s">
        <v>5080</v>
      </c>
      <c r="C65" t="s">
        <v>181</v>
      </c>
      <c r="D65"/>
      <c r="F65">
        <f t="shared" si="0"/>
        <v>0</v>
      </c>
      <c r="G65">
        <f t="shared" si="0"/>
        <v>0</v>
      </c>
    </row>
    <row r="66" spans="2:7" ht="48" x14ac:dyDescent="0.2">
      <c r="B66" s="3" t="s">
        <v>5081</v>
      </c>
      <c r="C66" t="s">
        <v>66</v>
      </c>
      <c r="D66"/>
      <c r="F66">
        <f t="shared" si="0"/>
        <v>0</v>
      </c>
      <c r="G66">
        <f t="shared" si="0"/>
        <v>0</v>
      </c>
    </row>
    <row r="67" spans="2:7" ht="48" x14ac:dyDescent="0.2">
      <c r="B67" s="3" t="s">
        <v>5082</v>
      </c>
      <c r="C67" t="s">
        <v>122</v>
      </c>
      <c r="D67"/>
      <c r="F67">
        <f t="shared" ref="F67:G101" si="1">IF(D67="",0,1)</f>
        <v>0</v>
      </c>
      <c r="G67">
        <f t="shared" si="1"/>
        <v>0</v>
      </c>
    </row>
    <row r="68" spans="2:7" ht="48" x14ac:dyDescent="0.2">
      <c r="B68" s="3" t="s">
        <v>5083</v>
      </c>
      <c r="C68" t="s">
        <v>5084</v>
      </c>
      <c r="D68"/>
      <c r="F68">
        <f t="shared" si="1"/>
        <v>0</v>
      </c>
      <c r="G68">
        <f t="shared" si="1"/>
        <v>0</v>
      </c>
    </row>
    <row r="69" spans="2:7" ht="48" x14ac:dyDescent="0.2">
      <c r="B69" s="3" t="s">
        <v>5085</v>
      </c>
      <c r="C69" t="s">
        <v>4184</v>
      </c>
      <c r="D69"/>
      <c r="F69">
        <f t="shared" si="1"/>
        <v>0</v>
      </c>
      <c r="G69">
        <f t="shared" si="1"/>
        <v>0</v>
      </c>
    </row>
    <row r="70" spans="2:7" ht="48" x14ac:dyDescent="0.2">
      <c r="B70" s="3" t="s">
        <v>5086</v>
      </c>
      <c r="C70" t="s">
        <v>5087</v>
      </c>
      <c r="D70"/>
      <c r="F70">
        <f t="shared" si="1"/>
        <v>0</v>
      </c>
      <c r="G70">
        <f t="shared" si="1"/>
        <v>0</v>
      </c>
    </row>
    <row r="71" spans="2:7" ht="48" x14ac:dyDescent="0.2">
      <c r="B71" s="3" t="s">
        <v>5088</v>
      </c>
      <c r="C71" t="s">
        <v>5089</v>
      </c>
      <c r="D71"/>
      <c r="E71" t="s">
        <v>118</v>
      </c>
      <c r="F71">
        <f t="shared" si="1"/>
        <v>0</v>
      </c>
      <c r="G71">
        <f t="shared" si="1"/>
        <v>1</v>
      </c>
    </row>
    <row r="72" spans="2:7" ht="48" x14ac:dyDescent="0.2">
      <c r="B72" s="3" t="s">
        <v>5090</v>
      </c>
      <c r="C72" t="s">
        <v>1862</v>
      </c>
      <c r="D72"/>
      <c r="F72">
        <f t="shared" si="1"/>
        <v>0</v>
      </c>
      <c r="G72">
        <f t="shared" si="1"/>
        <v>0</v>
      </c>
    </row>
    <row r="73" spans="2:7" ht="48" x14ac:dyDescent="0.2">
      <c r="B73" s="3" t="s">
        <v>5091</v>
      </c>
      <c r="C73" t="s">
        <v>20</v>
      </c>
      <c r="D73"/>
      <c r="F73">
        <f t="shared" si="1"/>
        <v>0</v>
      </c>
      <c r="G73">
        <f t="shared" si="1"/>
        <v>0</v>
      </c>
    </row>
    <row r="74" spans="2:7" ht="48" x14ac:dyDescent="0.2">
      <c r="B74" s="3" t="s">
        <v>5092</v>
      </c>
      <c r="C74" t="s">
        <v>5093</v>
      </c>
      <c r="D74"/>
      <c r="F74">
        <f t="shared" si="1"/>
        <v>0</v>
      </c>
      <c r="G74">
        <f t="shared" si="1"/>
        <v>0</v>
      </c>
    </row>
    <row r="75" spans="2:7" ht="48" x14ac:dyDescent="0.2">
      <c r="B75" s="3" t="s">
        <v>5094</v>
      </c>
      <c r="C75" t="s">
        <v>4945</v>
      </c>
      <c r="D75"/>
      <c r="F75">
        <f t="shared" si="1"/>
        <v>0</v>
      </c>
      <c r="G75">
        <f t="shared" si="1"/>
        <v>0</v>
      </c>
    </row>
    <row r="76" spans="2:7" ht="48" x14ac:dyDescent="0.2">
      <c r="B76" s="3" t="s">
        <v>5095</v>
      </c>
      <c r="C76" t="s">
        <v>295</v>
      </c>
      <c r="D76"/>
      <c r="F76">
        <f t="shared" si="1"/>
        <v>0</v>
      </c>
      <c r="G76">
        <f t="shared" si="1"/>
        <v>0</v>
      </c>
    </row>
    <row r="77" spans="2:7" ht="48" x14ac:dyDescent="0.2">
      <c r="B77" s="3" t="s">
        <v>5096</v>
      </c>
      <c r="C77" t="s">
        <v>123</v>
      </c>
      <c r="D77"/>
      <c r="F77">
        <f t="shared" si="1"/>
        <v>0</v>
      </c>
      <c r="G77">
        <f t="shared" si="1"/>
        <v>0</v>
      </c>
    </row>
    <row r="78" spans="2:7" ht="48" x14ac:dyDescent="0.2">
      <c r="B78" s="3" t="s">
        <v>5097</v>
      </c>
      <c r="C78" t="s">
        <v>5098</v>
      </c>
      <c r="D78"/>
      <c r="F78">
        <f t="shared" si="1"/>
        <v>0</v>
      </c>
      <c r="G78">
        <f t="shared" si="1"/>
        <v>0</v>
      </c>
    </row>
    <row r="79" spans="2:7" ht="48" x14ac:dyDescent="0.2">
      <c r="B79" s="3" t="s">
        <v>5099</v>
      </c>
      <c r="C79" t="s">
        <v>30</v>
      </c>
      <c r="D79"/>
      <c r="E79" t="s">
        <v>90</v>
      </c>
      <c r="F79">
        <f t="shared" si="1"/>
        <v>0</v>
      </c>
      <c r="G79">
        <f t="shared" si="1"/>
        <v>1</v>
      </c>
    </row>
    <row r="80" spans="2:7" ht="48" x14ac:dyDescent="0.2">
      <c r="B80" s="3" t="s">
        <v>5100</v>
      </c>
      <c r="C80" t="s">
        <v>156</v>
      </c>
      <c r="D80"/>
      <c r="F80">
        <f t="shared" si="1"/>
        <v>0</v>
      </c>
      <c r="G80">
        <f t="shared" si="1"/>
        <v>0</v>
      </c>
    </row>
    <row r="81" spans="2:7" ht="48" x14ac:dyDescent="0.2">
      <c r="B81" s="3" t="s">
        <v>5101</v>
      </c>
      <c r="C81" t="s">
        <v>5102</v>
      </c>
      <c r="D81"/>
      <c r="F81">
        <f t="shared" si="1"/>
        <v>0</v>
      </c>
      <c r="G81">
        <f t="shared" si="1"/>
        <v>0</v>
      </c>
    </row>
    <row r="82" spans="2:7" ht="48" x14ac:dyDescent="0.2">
      <c r="B82" s="3" t="s">
        <v>5103</v>
      </c>
      <c r="C82" t="s">
        <v>221</v>
      </c>
      <c r="D82"/>
      <c r="E82" t="s">
        <v>194</v>
      </c>
      <c r="F82">
        <f t="shared" si="1"/>
        <v>0</v>
      </c>
      <c r="G82">
        <f t="shared" si="1"/>
        <v>1</v>
      </c>
    </row>
    <row r="83" spans="2:7" ht="48" x14ac:dyDescent="0.2">
      <c r="B83" s="3" t="s">
        <v>5104</v>
      </c>
      <c r="C83" t="s">
        <v>10</v>
      </c>
      <c r="D83"/>
      <c r="F83">
        <f t="shared" si="1"/>
        <v>0</v>
      </c>
      <c r="G83">
        <f t="shared" si="1"/>
        <v>0</v>
      </c>
    </row>
    <row r="84" spans="2:7" ht="48" x14ac:dyDescent="0.2">
      <c r="B84" s="3" t="s">
        <v>5105</v>
      </c>
      <c r="C84" t="s">
        <v>5106</v>
      </c>
      <c r="D84"/>
      <c r="F84">
        <f t="shared" si="1"/>
        <v>0</v>
      </c>
      <c r="G84">
        <f t="shared" si="1"/>
        <v>0</v>
      </c>
    </row>
    <row r="85" spans="2:7" ht="48" x14ac:dyDescent="0.2">
      <c r="B85" s="3" t="s">
        <v>5107</v>
      </c>
      <c r="C85" t="s">
        <v>5108</v>
      </c>
      <c r="D85"/>
      <c r="F85">
        <f t="shared" si="1"/>
        <v>0</v>
      </c>
      <c r="G85">
        <f t="shared" si="1"/>
        <v>0</v>
      </c>
    </row>
    <row r="86" spans="2:7" ht="48" x14ac:dyDescent="0.2">
      <c r="B86" s="3" t="s">
        <v>5109</v>
      </c>
      <c r="C86" t="s">
        <v>4059</v>
      </c>
      <c r="D86"/>
      <c r="F86">
        <f t="shared" si="1"/>
        <v>0</v>
      </c>
      <c r="G86">
        <f t="shared" si="1"/>
        <v>0</v>
      </c>
    </row>
    <row r="87" spans="2:7" ht="32" x14ac:dyDescent="0.2">
      <c r="B87" s="3" t="s">
        <v>5110</v>
      </c>
      <c r="C87" t="s">
        <v>15</v>
      </c>
      <c r="D87"/>
      <c r="F87">
        <f t="shared" si="1"/>
        <v>0</v>
      </c>
      <c r="G87">
        <f t="shared" si="1"/>
        <v>0</v>
      </c>
    </row>
    <row r="88" spans="2:7" ht="48" x14ac:dyDescent="0.2">
      <c r="B88" s="3" t="s">
        <v>5111</v>
      </c>
      <c r="C88" t="s">
        <v>71</v>
      </c>
      <c r="D88"/>
      <c r="F88">
        <f t="shared" si="1"/>
        <v>0</v>
      </c>
      <c r="G88">
        <f t="shared" si="1"/>
        <v>0</v>
      </c>
    </row>
    <row r="89" spans="2:7" ht="48" x14ac:dyDescent="0.2">
      <c r="B89" s="3" t="s">
        <v>5112</v>
      </c>
      <c r="C89" t="s">
        <v>6</v>
      </c>
      <c r="D89"/>
      <c r="F89">
        <f t="shared" si="1"/>
        <v>0</v>
      </c>
      <c r="G89">
        <f t="shared" si="1"/>
        <v>0</v>
      </c>
    </row>
    <row r="90" spans="2:7" ht="48" x14ac:dyDescent="0.2">
      <c r="B90" s="3" t="s">
        <v>5113</v>
      </c>
      <c r="C90" t="s">
        <v>4907</v>
      </c>
      <c r="D90"/>
      <c r="F90">
        <f t="shared" si="1"/>
        <v>0</v>
      </c>
      <c r="G90">
        <f t="shared" si="1"/>
        <v>0</v>
      </c>
    </row>
    <row r="91" spans="2:7" ht="48" x14ac:dyDescent="0.2">
      <c r="B91" s="3" t="s">
        <v>5114</v>
      </c>
      <c r="C91" t="s">
        <v>5115</v>
      </c>
      <c r="D91"/>
      <c r="F91">
        <f t="shared" si="1"/>
        <v>0</v>
      </c>
      <c r="G91">
        <f t="shared" si="1"/>
        <v>0</v>
      </c>
    </row>
    <row r="92" spans="2:7" ht="48" x14ac:dyDescent="0.2">
      <c r="B92" s="3" t="s">
        <v>5116</v>
      </c>
      <c r="C92" t="s">
        <v>5117</v>
      </c>
      <c r="D92"/>
      <c r="F92">
        <f t="shared" si="1"/>
        <v>0</v>
      </c>
      <c r="G92">
        <f t="shared" si="1"/>
        <v>0</v>
      </c>
    </row>
    <row r="93" spans="2:7" ht="48" x14ac:dyDescent="0.2">
      <c r="B93" s="3" t="s">
        <v>5118</v>
      </c>
      <c r="C93" t="s">
        <v>185</v>
      </c>
      <c r="D93"/>
      <c r="F93">
        <f t="shared" si="1"/>
        <v>0</v>
      </c>
      <c r="G93">
        <f t="shared" si="1"/>
        <v>0</v>
      </c>
    </row>
    <row r="94" spans="2:7" ht="48" x14ac:dyDescent="0.2">
      <c r="B94" s="3" t="s">
        <v>5119</v>
      </c>
      <c r="C94" t="s">
        <v>5120</v>
      </c>
      <c r="D94"/>
      <c r="F94">
        <f t="shared" si="1"/>
        <v>0</v>
      </c>
      <c r="G94">
        <f t="shared" si="1"/>
        <v>0</v>
      </c>
    </row>
    <row r="95" spans="2:7" ht="48" x14ac:dyDescent="0.2">
      <c r="B95" s="3" t="s">
        <v>5121</v>
      </c>
      <c r="C95" t="s">
        <v>135</v>
      </c>
      <c r="D95"/>
      <c r="F95">
        <f t="shared" si="1"/>
        <v>0</v>
      </c>
      <c r="G95">
        <f t="shared" si="1"/>
        <v>0</v>
      </c>
    </row>
    <row r="96" spans="2:7" ht="48" x14ac:dyDescent="0.2">
      <c r="B96" s="3" t="s">
        <v>5122</v>
      </c>
      <c r="C96" t="s">
        <v>181</v>
      </c>
      <c r="D96"/>
      <c r="F96">
        <f t="shared" si="1"/>
        <v>0</v>
      </c>
      <c r="G96">
        <f t="shared" si="1"/>
        <v>0</v>
      </c>
    </row>
    <row r="97" spans="2:7" ht="48" x14ac:dyDescent="0.2">
      <c r="B97" s="3" t="s">
        <v>5123</v>
      </c>
      <c r="C97" t="s">
        <v>20</v>
      </c>
      <c r="D97"/>
      <c r="F97">
        <f t="shared" si="1"/>
        <v>0</v>
      </c>
      <c r="G97">
        <f t="shared" si="1"/>
        <v>0</v>
      </c>
    </row>
    <row r="98" spans="2:7" ht="48" x14ac:dyDescent="0.2">
      <c r="B98" s="3" t="s">
        <v>5124</v>
      </c>
      <c r="C98" t="s">
        <v>42</v>
      </c>
      <c r="D98"/>
      <c r="F98">
        <f t="shared" si="1"/>
        <v>0</v>
      </c>
      <c r="G98">
        <f t="shared" si="1"/>
        <v>0</v>
      </c>
    </row>
    <row r="99" spans="2:7" ht="48" x14ac:dyDescent="0.2">
      <c r="B99" s="3" t="s">
        <v>5125</v>
      </c>
      <c r="C99" t="s">
        <v>3923</v>
      </c>
      <c r="D99"/>
      <c r="F99">
        <f t="shared" si="1"/>
        <v>0</v>
      </c>
      <c r="G99">
        <f t="shared" si="1"/>
        <v>0</v>
      </c>
    </row>
    <row r="100" spans="2:7" ht="48" x14ac:dyDescent="0.2">
      <c r="B100" s="3" t="s">
        <v>5126</v>
      </c>
      <c r="C100" t="s">
        <v>11</v>
      </c>
      <c r="D100"/>
      <c r="E100" t="s">
        <v>46</v>
      </c>
      <c r="F100">
        <f t="shared" si="1"/>
        <v>0</v>
      </c>
      <c r="G100">
        <f t="shared" si="1"/>
        <v>1</v>
      </c>
    </row>
    <row r="101" spans="2:7" ht="48" x14ac:dyDescent="0.2">
      <c r="B101" s="3" t="s">
        <v>5127</v>
      </c>
      <c r="C101" t="s">
        <v>40</v>
      </c>
      <c r="D101"/>
      <c r="E101" t="s">
        <v>48</v>
      </c>
      <c r="F101">
        <f t="shared" si="1"/>
        <v>0</v>
      </c>
      <c r="G101">
        <f t="shared" si="1"/>
        <v>1</v>
      </c>
    </row>
    <row r="103" spans="2:7" x14ac:dyDescent="0.2">
      <c r="F103" s="10">
        <f>SUM(F2:F101)</f>
        <v>3</v>
      </c>
      <c r="G103" s="10">
        <f>SUM(G2:G101)</f>
        <v>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D65D-57B0-CF45-A6DF-6EF90C51BB42}">
  <dimension ref="A1:G103"/>
  <sheetViews>
    <sheetView workbookViewId="0">
      <selection sqref="A1:XFD1048576"/>
    </sheetView>
  </sheetViews>
  <sheetFormatPr baseColWidth="10" defaultRowHeight="15" x14ac:dyDescent="0.2"/>
  <cols>
    <col min="1" max="1" width="41.83203125" style="3" customWidth="1"/>
    <col min="2" max="2" width="56.1640625" style="7" customWidth="1"/>
    <col min="4" max="4" width="15.1640625" style="9" customWidth="1"/>
    <col min="5" max="5" width="13.33203125" customWidth="1"/>
  </cols>
  <sheetData>
    <row r="1" spans="1:7" ht="16" x14ac:dyDescent="0.2">
      <c r="A1" s="2" t="s">
        <v>0</v>
      </c>
      <c r="B1" s="6" t="s">
        <v>43</v>
      </c>
      <c r="C1" s="1" t="s">
        <v>1</v>
      </c>
      <c r="D1" s="8" t="s">
        <v>44</v>
      </c>
      <c r="E1" s="1" t="s">
        <v>45</v>
      </c>
      <c r="F1" s="1" t="s">
        <v>44</v>
      </c>
      <c r="G1" s="1" t="s">
        <v>45</v>
      </c>
    </row>
    <row r="2" spans="1:7" x14ac:dyDescent="0.2">
      <c r="B2" s="3"/>
      <c r="D2"/>
      <c r="F2">
        <f>IF(D2="",0,1)</f>
        <v>0</v>
      </c>
      <c r="G2">
        <f>IF(E2="",0,1)</f>
        <v>0</v>
      </c>
    </row>
    <row r="3" spans="1:7" x14ac:dyDescent="0.2">
      <c r="B3" s="3"/>
      <c r="D3"/>
      <c r="F3">
        <f t="shared" ref="F3:G66" si="0">IF(D3="",0,1)</f>
        <v>0</v>
      </c>
      <c r="G3">
        <f t="shared" si="0"/>
        <v>0</v>
      </c>
    </row>
    <row r="4" spans="1:7" x14ac:dyDescent="0.2">
      <c r="B4" s="3"/>
      <c r="D4"/>
      <c r="F4">
        <f t="shared" si="0"/>
        <v>0</v>
      </c>
      <c r="G4">
        <f t="shared" si="0"/>
        <v>0</v>
      </c>
    </row>
    <row r="5" spans="1:7" x14ac:dyDescent="0.2">
      <c r="B5" s="3"/>
      <c r="D5"/>
      <c r="F5">
        <f t="shared" si="0"/>
        <v>0</v>
      </c>
      <c r="G5">
        <f t="shared" si="0"/>
        <v>0</v>
      </c>
    </row>
    <row r="6" spans="1:7" x14ac:dyDescent="0.2">
      <c r="B6" s="3"/>
      <c r="D6"/>
      <c r="F6">
        <f t="shared" si="0"/>
        <v>0</v>
      </c>
      <c r="G6">
        <f t="shared" si="0"/>
        <v>0</v>
      </c>
    </row>
    <row r="7" spans="1:7" x14ac:dyDescent="0.2">
      <c r="B7" s="3"/>
      <c r="D7"/>
      <c r="F7">
        <f t="shared" si="0"/>
        <v>0</v>
      </c>
      <c r="G7">
        <f t="shared" si="0"/>
        <v>0</v>
      </c>
    </row>
    <row r="8" spans="1:7" x14ac:dyDescent="0.2">
      <c r="B8" s="3"/>
      <c r="D8"/>
      <c r="F8">
        <f t="shared" si="0"/>
        <v>0</v>
      </c>
      <c r="G8">
        <f t="shared" si="0"/>
        <v>0</v>
      </c>
    </row>
    <row r="9" spans="1:7" x14ac:dyDescent="0.2">
      <c r="B9" s="3"/>
      <c r="D9"/>
      <c r="F9">
        <f t="shared" si="0"/>
        <v>0</v>
      </c>
      <c r="G9">
        <f t="shared" si="0"/>
        <v>0</v>
      </c>
    </row>
    <row r="10" spans="1:7" x14ac:dyDescent="0.2">
      <c r="B10" s="3"/>
      <c r="D10"/>
      <c r="F10">
        <f t="shared" si="0"/>
        <v>0</v>
      </c>
      <c r="G10">
        <f t="shared" si="0"/>
        <v>0</v>
      </c>
    </row>
    <row r="11" spans="1:7" x14ac:dyDescent="0.2">
      <c r="B11" s="3"/>
      <c r="D11"/>
      <c r="F11">
        <f t="shared" si="0"/>
        <v>0</v>
      </c>
      <c r="G11">
        <f t="shared" si="0"/>
        <v>0</v>
      </c>
    </row>
    <row r="12" spans="1:7" x14ac:dyDescent="0.2">
      <c r="B12" s="3"/>
      <c r="D12"/>
      <c r="F12">
        <f t="shared" si="0"/>
        <v>0</v>
      </c>
      <c r="G12">
        <f t="shared" si="0"/>
        <v>0</v>
      </c>
    </row>
    <row r="13" spans="1:7" x14ac:dyDescent="0.2">
      <c r="B13" s="3"/>
      <c r="D13"/>
      <c r="F13">
        <f t="shared" si="0"/>
        <v>0</v>
      </c>
      <c r="G13">
        <f t="shared" si="0"/>
        <v>0</v>
      </c>
    </row>
    <row r="14" spans="1:7" x14ac:dyDescent="0.2">
      <c r="B14" s="3"/>
      <c r="D14"/>
      <c r="F14">
        <f t="shared" si="0"/>
        <v>0</v>
      </c>
      <c r="G14">
        <f t="shared" si="0"/>
        <v>0</v>
      </c>
    </row>
    <row r="15" spans="1:7" x14ac:dyDescent="0.2">
      <c r="B15" s="3"/>
      <c r="D15"/>
      <c r="F15">
        <f t="shared" si="0"/>
        <v>0</v>
      </c>
      <c r="G15">
        <f t="shared" si="0"/>
        <v>0</v>
      </c>
    </row>
    <row r="16" spans="1:7" x14ac:dyDescent="0.2">
      <c r="B16" s="3"/>
      <c r="D16"/>
      <c r="F16">
        <f t="shared" si="0"/>
        <v>0</v>
      </c>
      <c r="G16">
        <f t="shared" si="0"/>
        <v>0</v>
      </c>
    </row>
    <row r="17" spans="2:7" x14ac:dyDescent="0.2">
      <c r="B17" s="3"/>
      <c r="D17"/>
      <c r="F17">
        <f t="shared" si="0"/>
        <v>0</v>
      </c>
      <c r="G17">
        <f t="shared" si="0"/>
        <v>0</v>
      </c>
    </row>
    <row r="18" spans="2:7" x14ac:dyDescent="0.2">
      <c r="B18" s="3"/>
      <c r="D18"/>
      <c r="F18">
        <f t="shared" si="0"/>
        <v>0</v>
      </c>
      <c r="G18">
        <f t="shared" si="0"/>
        <v>0</v>
      </c>
    </row>
    <row r="19" spans="2:7" x14ac:dyDescent="0.2">
      <c r="B19" s="3"/>
      <c r="D19"/>
      <c r="F19">
        <f t="shared" si="0"/>
        <v>0</v>
      </c>
      <c r="G19">
        <f t="shared" si="0"/>
        <v>0</v>
      </c>
    </row>
    <row r="20" spans="2:7" x14ac:dyDescent="0.2">
      <c r="B20" s="3"/>
      <c r="D20"/>
      <c r="F20">
        <f t="shared" si="0"/>
        <v>0</v>
      </c>
      <c r="G20">
        <f t="shared" si="0"/>
        <v>0</v>
      </c>
    </row>
    <row r="21" spans="2:7" x14ac:dyDescent="0.2">
      <c r="B21" s="3"/>
      <c r="D21"/>
      <c r="F21">
        <f t="shared" si="0"/>
        <v>0</v>
      </c>
      <c r="G21">
        <f t="shared" si="0"/>
        <v>0</v>
      </c>
    </row>
    <row r="22" spans="2:7" x14ac:dyDescent="0.2">
      <c r="B22" s="3"/>
      <c r="D22"/>
      <c r="F22">
        <f t="shared" si="0"/>
        <v>0</v>
      </c>
      <c r="G22">
        <f t="shared" si="0"/>
        <v>0</v>
      </c>
    </row>
    <row r="23" spans="2:7" x14ac:dyDescent="0.2">
      <c r="B23" s="3"/>
      <c r="D23"/>
      <c r="F23">
        <f t="shared" si="0"/>
        <v>0</v>
      </c>
      <c r="G23">
        <f t="shared" si="0"/>
        <v>0</v>
      </c>
    </row>
    <row r="24" spans="2:7" x14ac:dyDescent="0.2">
      <c r="B24" s="3"/>
      <c r="D24"/>
      <c r="F24">
        <f t="shared" si="0"/>
        <v>0</v>
      </c>
      <c r="G24">
        <f t="shared" si="0"/>
        <v>0</v>
      </c>
    </row>
    <row r="25" spans="2:7" x14ac:dyDescent="0.2">
      <c r="B25" s="3"/>
      <c r="D25"/>
      <c r="F25">
        <f t="shared" si="0"/>
        <v>0</v>
      </c>
      <c r="G25">
        <f t="shared" si="0"/>
        <v>0</v>
      </c>
    </row>
    <row r="26" spans="2:7" x14ac:dyDescent="0.2">
      <c r="B26" s="3"/>
      <c r="D26"/>
      <c r="F26">
        <f t="shared" si="0"/>
        <v>0</v>
      </c>
      <c r="G26">
        <f t="shared" si="0"/>
        <v>0</v>
      </c>
    </row>
    <row r="27" spans="2:7" x14ac:dyDescent="0.2">
      <c r="B27" s="3"/>
      <c r="D27"/>
      <c r="F27">
        <f t="shared" si="0"/>
        <v>0</v>
      </c>
      <c r="G27">
        <f t="shared" si="0"/>
        <v>0</v>
      </c>
    </row>
    <row r="28" spans="2:7" x14ac:dyDescent="0.2">
      <c r="B28" s="3"/>
      <c r="D28"/>
      <c r="F28">
        <f t="shared" si="0"/>
        <v>0</v>
      </c>
      <c r="G28">
        <f t="shared" si="0"/>
        <v>0</v>
      </c>
    </row>
    <row r="29" spans="2:7" x14ac:dyDescent="0.2">
      <c r="B29" s="3"/>
      <c r="D29"/>
      <c r="F29">
        <f t="shared" si="0"/>
        <v>0</v>
      </c>
      <c r="G29">
        <f t="shared" si="0"/>
        <v>0</v>
      </c>
    </row>
    <row r="30" spans="2:7" x14ac:dyDescent="0.2">
      <c r="B30" s="3"/>
      <c r="D30"/>
      <c r="F30">
        <f t="shared" si="0"/>
        <v>0</v>
      </c>
      <c r="G30">
        <f t="shared" si="0"/>
        <v>0</v>
      </c>
    </row>
    <row r="31" spans="2:7" x14ac:dyDescent="0.2">
      <c r="B31" s="3"/>
      <c r="D31"/>
      <c r="F31">
        <f t="shared" si="0"/>
        <v>0</v>
      </c>
      <c r="G31">
        <f t="shared" si="0"/>
        <v>0</v>
      </c>
    </row>
    <row r="32" spans="2:7" x14ac:dyDescent="0.2">
      <c r="B32" s="3"/>
      <c r="D32"/>
      <c r="F32">
        <f t="shared" si="0"/>
        <v>0</v>
      </c>
      <c r="G32">
        <f t="shared" si="0"/>
        <v>0</v>
      </c>
    </row>
    <row r="33" spans="2:7" x14ac:dyDescent="0.2">
      <c r="B33" s="3"/>
      <c r="D33"/>
      <c r="F33">
        <f t="shared" si="0"/>
        <v>0</v>
      </c>
      <c r="G33">
        <f t="shared" si="0"/>
        <v>0</v>
      </c>
    </row>
    <row r="34" spans="2:7" x14ac:dyDescent="0.2">
      <c r="B34" s="3"/>
      <c r="D34"/>
      <c r="F34">
        <f t="shared" si="0"/>
        <v>0</v>
      </c>
      <c r="G34">
        <f t="shared" si="0"/>
        <v>0</v>
      </c>
    </row>
    <row r="35" spans="2:7" x14ac:dyDescent="0.2">
      <c r="B35" s="3"/>
      <c r="D35"/>
      <c r="F35">
        <f t="shared" si="0"/>
        <v>0</v>
      </c>
      <c r="G35">
        <f t="shared" si="0"/>
        <v>0</v>
      </c>
    </row>
    <row r="36" spans="2:7" x14ac:dyDescent="0.2">
      <c r="B36" s="3"/>
      <c r="D36"/>
      <c r="F36">
        <f t="shared" si="0"/>
        <v>0</v>
      </c>
      <c r="G36">
        <f t="shared" si="0"/>
        <v>0</v>
      </c>
    </row>
    <row r="37" spans="2:7" x14ac:dyDescent="0.2">
      <c r="B37" s="3"/>
      <c r="D37"/>
      <c r="F37">
        <f t="shared" si="0"/>
        <v>0</v>
      </c>
      <c r="G37">
        <f t="shared" si="0"/>
        <v>0</v>
      </c>
    </row>
    <row r="38" spans="2:7" x14ac:dyDescent="0.2">
      <c r="B38" s="3"/>
      <c r="D38"/>
      <c r="F38">
        <f t="shared" si="0"/>
        <v>0</v>
      </c>
      <c r="G38">
        <f t="shared" si="0"/>
        <v>0</v>
      </c>
    </row>
    <row r="39" spans="2:7" x14ac:dyDescent="0.2">
      <c r="B39" s="3"/>
      <c r="D39"/>
      <c r="F39">
        <f t="shared" si="0"/>
        <v>0</v>
      </c>
      <c r="G39">
        <f t="shared" si="0"/>
        <v>0</v>
      </c>
    </row>
    <row r="40" spans="2:7" x14ac:dyDescent="0.2">
      <c r="B40" s="3"/>
      <c r="D40"/>
      <c r="F40">
        <f t="shared" si="0"/>
        <v>0</v>
      </c>
      <c r="G40">
        <f t="shared" si="0"/>
        <v>0</v>
      </c>
    </row>
    <row r="41" spans="2:7" x14ac:dyDescent="0.2">
      <c r="B41" s="3"/>
      <c r="D41"/>
      <c r="F41">
        <f t="shared" si="0"/>
        <v>0</v>
      </c>
      <c r="G41">
        <f t="shared" si="0"/>
        <v>0</v>
      </c>
    </row>
    <row r="42" spans="2:7" x14ac:dyDescent="0.2">
      <c r="B42" s="3"/>
      <c r="D42"/>
      <c r="F42">
        <f t="shared" si="0"/>
        <v>0</v>
      </c>
      <c r="G42">
        <f t="shared" si="0"/>
        <v>0</v>
      </c>
    </row>
    <row r="43" spans="2:7" x14ac:dyDescent="0.2">
      <c r="B43" s="3"/>
      <c r="D43"/>
      <c r="F43">
        <f t="shared" si="0"/>
        <v>0</v>
      </c>
      <c r="G43">
        <f t="shared" si="0"/>
        <v>0</v>
      </c>
    </row>
    <row r="44" spans="2:7" x14ac:dyDescent="0.2">
      <c r="B44" s="3"/>
      <c r="D44"/>
      <c r="F44">
        <f t="shared" si="0"/>
        <v>0</v>
      </c>
      <c r="G44">
        <f t="shared" si="0"/>
        <v>0</v>
      </c>
    </row>
    <row r="45" spans="2:7" x14ac:dyDescent="0.2">
      <c r="B45" s="3"/>
      <c r="D45"/>
      <c r="F45">
        <f t="shared" si="0"/>
        <v>0</v>
      </c>
      <c r="G45">
        <f t="shared" si="0"/>
        <v>0</v>
      </c>
    </row>
    <row r="46" spans="2:7" x14ac:dyDescent="0.2">
      <c r="B46" s="3"/>
      <c r="D46"/>
      <c r="F46">
        <f t="shared" si="0"/>
        <v>0</v>
      </c>
      <c r="G46">
        <f t="shared" si="0"/>
        <v>0</v>
      </c>
    </row>
    <row r="47" spans="2:7" x14ac:dyDescent="0.2">
      <c r="B47" s="3"/>
      <c r="D47"/>
      <c r="F47">
        <f t="shared" si="0"/>
        <v>0</v>
      </c>
      <c r="G47">
        <f t="shared" si="0"/>
        <v>0</v>
      </c>
    </row>
    <row r="48" spans="2:7" x14ac:dyDescent="0.2">
      <c r="B48" s="3"/>
      <c r="D48"/>
      <c r="F48">
        <f t="shared" si="0"/>
        <v>0</v>
      </c>
      <c r="G48">
        <f t="shared" si="0"/>
        <v>0</v>
      </c>
    </row>
    <row r="49" spans="2:7" x14ac:dyDescent="0.2">
      <c r="B49" s="3"/>
      <c r="D49"/>
      <c r="F49">
        <f t="shared" si="0"/>
        <v>0</v>
      </c>
      <c r="G49">
        <f t="shared" si="0"/>
        <v>0</v>
      </c>
    </row>
    <row r="50" spans="2:7" x14ac:dyDescent="0.2">
      <c r="B50" s="3"/>
      <c r="D50"/>
      <c r="F50">
        <f t="shared" si="0"/>
        <v>0</v>
      </c>
      <c r="G50">
        <f t="shared" si="0"/>
        <v>0</v>
      </c>
    </row>
    <row r="51" spans="2:7" x14ac:dyDescent="0.2">
      <c r="B51" s="3"/>
      <c r="D51"/>
      <c r="F51">
        <f t="shared" si="0"/>
        <v>0</v>
      </c>
      <c r="G51">
        <f t="shared" si="0"/>
        <v>0</v>
      </c>
    </row>
    <row r="52" spans="2:7" x14ac:dyDescent="0.2">
      <c r="B52" s="3"/>
      <c r="D52"/>
      <c r="F52">
        <f t="shared" si="0"/>
        <v>0</v>
      </c>
      <c r="G52">
        <f t="shared" si="0"/>
        <v>0</v>
      </c>
    </row>
    <row r="53" spans="2:7" x14ac:dyDescent="0.2">
      <c r="B53" s="3"/>
      <c r="D53"/>
      <c r="F53">
        <f t="shared" si="0"/>
        <v>0</v>
      </c>
      <c r="G53">
        <f t="shared" si="0"/>
        <v>0</v>
      </c>
    </row>
    <row r="54" spans="2:7" x14ac:dyDescent="0.2">
      <c r="B54" s="3"/>
      <c r="D54"/>
      <c r="F54">
        <f t="shared" si="0"/>
        <v>0</v>
      </c>
      <c r="G54">
        <f t="shared" si="0"/>
        <v>0</v>
      </c>
    </row>
    <row r="55" spans="2:7" x14ac:dyDescent="0.2">
      <c r="B55" s="3"/>
      <c r="D55"/>
      <c r="F55">
        <f t="shared" si="0"/>
        <v>0</v>
      </c>
      <c r="G55">
        <f t="shared" si="0"/>
        <v>0</v>
      </c>
    </row>
    <row r="56" spans="2:7" x14ac:dyDescent="0.2">
      <c r="B56" s="3"/>
      <c r="D56"/>
      <c r="F56">
        <f t="shared" si="0"/>
        <v>0</v>
      </c>
      <c r="G56">
        <f t="shared" si="0"/>
        <v>0</v>
      </c>
    </row>
    <row r="57" spans="2:7" x14ac:dyDescent="0.2">
      <c r="B57" s="3"/>
      <c r="D57"/>
      <c r="F57">
        <f t="shared" si="0"/>
        <v>0</v>
      </c>
      <c r="G57">
        <f t="shared" si="0"/>
        <v>0</v>
      </c>
    </row>
    <row r="58" spans="2:7" x14ac:dyDescent="0.2">
      <c r="B58" s="3"/>
      <c r="D58"/>
      <c r="F58">
        <f t="shared" si="0"/>
        <v>0</v>
      </c>
      <c r="G58">
        <f t="shared" si="0"/>
        <v>0</v>
      </c>
    </row>
    <row r="59" spans="2:7" x14ac:dyDescent="0.2">
      <c r="B59" s="3"/>
      <c r="D59"/>
      <c r="F59">
        <f t="shared" si="0"/>
        <v>0</v>
      </c>
      <c r="G59">
        <f t="shared" si="0"/>
        <v>0</v>
      </c>
    </row>
    <row r="60" spans="2:7" x14ac:dyDescent="0.2">
      <c r="B60" s="3"/>
      <c r="D60"/>
      <c r="F60">
        <f t="shared" si="0"/>
        <v>0</v>
      </c>
      <c r="G60">
        <f t="shared" si="0"/>
        <v>0</v>
      </c>
    </row>
    <row r="61" spans="2:7" x14ac:dyDescent="0.2">
      <c r="B61" s="3"/>
      <c r="D61"/>
      <c r="F61">
        <f t="shared" si="0"/>
        <v>0</v>
      </c>
      <c r="G61">
        <f t="shared" si="0"/>
        <v>0</v>
      </c>
    </row>
    <row r="62" spans="2:7" x14ac:dyDescent="0.2">
      <c r="B62" s="3"/>
      <c r="D62"/>
      <c r="F62">
        <f t="shared" si="0"/>
        <v>0</v>
      </c>
      <c r="G62">
        <f t="shared" si="0"/>
        <v>0</v>
      </c>
    </row>
    <row r="63" spans="2:7" x14ac:dyDescent="0.2">
      <c r="B63" s="3"/>
      <c r="D63"/>
      <c r="F63">
        <f t="shared" si="0"/>
        <v>0</v>
      </c>
      <c r="G63">
        <f t="shared" si="0"/>
        <v>0</v>
      </c>
    </row>
    <row r="64" spans="2:7" x14ac:dyDescent="0.2">
      <c r="B64" s="3"/>
      <c r="D64"/>
      <c r="F64">
        <f t="shared" si="0"/>
        <v>0</v>
      </c>
      <c r="G64">
        <f t="shared" si="0"/>
        <v>0</v>
      </c>
    </row>
    <row r="65" spans="2:7" x14ac:dyDescent="0.2">
      <c r="B65" s="3"/>
      <c r="D65"/>
      <c r="F65">
        <f t="shared" si="0"/>
        <v>0</v>
      </c>
      <c r="G65">
        <f t="shared" si="0"/>
        <v>0</v>
      </c>
    </row>
    <row r="66" spans="2:7" x14ac:dyDescent="0.2">
      <c r="B66" s="3"/>
      <c r="D66"/>
      <c r="F66">
        <f t="shared" si="0"/>
        <v>0</v>
      </c>
      <c r="G66">
        <f t="shared" si="0"/>
        <v>0</v>
      </c>
    </row>
    <row r="67" spans="2:7" x14ac:dyDescent="0.2">
      <c r="B67" s="3"/>
      <c r="D67"/>
      <c r="F67">
        <f t="shared" ref="F67:G101" si="1">IF(D67="",0,1)</f>
        <v>0</v>
      </c>
      <c r="G67">
        <f t="shared" si="1"/>
        <v>0</v>
      </c>
    </row>
    <row r="68" spans="2:7" x14ac:dyDescent="0.2">
      <c r="B68" s="3"/>
      <c r="D68"/>
      <c r="F68">
        <f t="shared" si="1"/>
        <v>0</v>
      </c>
      <c r="G68">
        <f t="shared" si="1"/>
        <v>0</v>
      </c>
    </row>
    <row r="69" spans="2:7" x14ac:dyDescent="0.2">
      <c r="B69" s="3"/>
      <c r="D69"/>
      <c r="F69">
        <f t="shared" si="1"/>
        <v>0</v>
      </c>
      <c r="G69">
        <f t="shared" si="1"/>
        <v>0</v>
      </c>
    </row>
    <row r="70" spans="2:7" x14ac:dyDescent="0.2">
      <c r="B70" s="3"/>
      <c r="D70"/>
      <c r="F70">
        <f t="shared" si="1"/>
        <v>0</v>
      </c>
      <c r="G70">
        <f t="shared" si="1"/>
        <v>0</v>
      </c>
    </row>
    <row r="71" spans="2:7" x14ac:dyDescent="0.2">
      <c r="B71" s="3"/>
      <c r="D71"/>
      <c r="F71">
        <f t="shared" si="1"/>
        <v>0</v>
      </c>
      <c r="G71">
        <f t="shared" si="1"/>
        <v>0</v>
      </c>
    </row>
    <row r="72" spans="2:7" x14ac:dyDescent="0.2">
      <c r="B72" s="3"/>
      <c r="D72"/>
      <c r="F72">
        <f t="shared" si="1"/>
        <v>0</v>
      </c>
      <c r="G72">
        <f t="shared" si="1"/>
        <v>0</v>
      </c>
    </row>
    <row r="73" spans="2:7" x14ac:dyDescent="0.2">
      <c r="B73" s="3"/>
      <c r="D73"/>
      <c r="F73">
        <f t="shared" si="1"/>
        <v>0</v>
      </c>
      <c r="G73">
        <f t="shared" si="1"/>
        <v>0</v>
      </c>
    </row>
    <row r="74" spans="2:7" x14ac:dyDescent="0.2">
      <c r="B74" s="3"/>
      <c r="D74"/>
      <c r="F74">
        <f t="shared" si="1"/>
        <v>0</v>
      </c>
      <c r="G74">
        <f t="shared" si="1"/>
        <v>0</v>
      </c>
    </row>
    <row r="75" spans="2:7" x14ac:dyDescent="0.2">
      <c r="B75" s="3"/>
      <c r="D75"/>
      <c r="F75">
        <f t="shared" si="1"/>
        <v>0</v>
      </c>
      <c r="G75">
        <f t="shared" si="1"/>
        <v>0</v>
      </c>
    </row>
    <row r="76" spans="2:7" x14ac:dyDescent="0.2">
      <c r="B76" s="3"/>
      <c r="D76"/>
      <c r="F76">
        <f t="shared" si="1"/>
        <v>0</v>
      </c>
      <c r="G76">
        <f t="shared" si="1"/>
        <v>0</v>
      </c>
    </row>
    <row r="77" spans="2:7" x14ac:dyDescent="0.2">
      <c r="B77" s="3"/>
      <c r="D77"/>
      <c r="F77">
        <f t="shared" si="1"/>
        <v>0</v>
      </c>
      <c r="G77">
        <f t="shared" si="1"/>
        <v>0</v>
      </c>
    </row>
    <row r="78" spans="2:7" x14ac:dyDescent="0.2">
      <c r="B78" s="3"/>
      <c r="D78"/>
      <c r="F78">
        <f t="shared" si="1"/>
        <v>0</v>
      </c>
      <c r="G78">
        <f t="shared" si="1"/>
        <v>0</v>
      </c>
    </row>
    <row r="79" spans="2:7" x14ac:dyDescent="0.2">
      <c r="B79" s="3"/>
      <c r="D79"/>
      <c r="F79">
        <f t="shared" si="1"/>
        <v>0</v>
      </c>
      <c r="G79">
        <f t="shared" si="1"/>
        <v>0</v>
      </c>
    </row>
    <row r="80" spans="2:7" x14ac:dyDescent="0.2">
      <c r="B80" s="3"/>
      <c r="D80"/>
      <c r="F80">
        <f t="shared" si="1"/>
        <v>0</v>
      </c>
      <c r="G80">
        <f t="shared" si="1"/>
        <v>0</v>
      </c>
    </row>
    <row r="81" spans="2:7" x14ac:dyDescent="0.2">
      <c r="B81" s="3"/>
      <c r="D81"/>
      <c r="F81">
        <f t="shared" si="1"/>
        <v>0</v>
      </c>
      <c r="G81">
        <f t="shared" si="1"/>
        <v>0</v>
      </c>
    </row>
    <row r="82" spans="2:7" x14ac:dyDescent="0.2">
      <c r="B82" s="3"/>
      <c r="D82"/>
      <c r="F82">
        <f t="shared" si="1"/>
        <v>0</v>
      </c>
      <c r="G82">
        <f t="shared" si="1"/>
        <v>0</v>
      </c>
    </row>
    <row r="83" spans="2:7" x14ac:dyDescent="0.2">
      <c r="B83" s="3"/>
      <c r="D83"/>
      <c r="F83">
        <f t="shared" si="1"/>
        <v>0</v>
      </c>
      <c r="G83">
        <f t="shared" si="1"/>
        <v>0</v>
      </c>
    </row>
    <row r="84" spans="2:7" x14ac:dyDescent="0.2">
      <c r="B84" s="3"/>
      <c r="D84"/>
      <c r="F84">
        <f t="shared" si="1"/>
        <v>0</v>
      </c>
      <c r="G84">
        <f t="shared" si="1"/>
        <v>0</v>
      </c>
    </row>
    <row r="85" spans="2:7" x14ac:dyDescent="0.2">
      <c r="B85" s="3"/>
      <c r="D85"/>
      <c r="F85">
        <f t="shared" si="1"/>
        <v>0</v>
      </c>
      <c r="G85">
        <f t="shared" si="1"/>
        <v>0</v>
      </c>
    </row>
    <row r="86" spans="2:7" x14ac:dyDescent="0.2">
      <c r="B86" s="3"/>
      <c r="D86"/>
      <c r="F86">
        <f t="shared" si="1"/>
        <v>0</v>
      </c>
      <c r="G86">
        <f t="shared" si="1"/>
        <v>0</v>
      </c>
    </row>
    <row r="87" spans="2:7" x14ac:dyDescent="0.2">
      <c r="B87" s="3"/>
      <c r="D87"/>
      <c r="F87">
        <f t="shared" si="1"/>
        <v>0</v>
      </c>
      <c r="G87">
        <f t="shared" si="1"/>
        <v>0</v>
      </c>
    </row>
    <row r="88" spans="2:7" x14ac:dyDescent="0.2">
      <c r="B88" s="3"/>
      <c r="D88"/>
      <c r="F88">
        <f t="shared" si="1"/>
        <v>0</v>
      </c>
      <c r="G88">
        <f t="shared" si="1"/>
        <v>0</v>
      </c>
    </row>
    <row r="89" spans="2:7" x14ac:dyDescent="0.2">
      <c r="B89" s="3"/>
      <c r="D89"/>
      <c r="F89">
        <f t="shared" si="1"/>
        <v>0</v>
      </c>
      <c r="G89">
        <f t="shared" si="1"/>
        <v>0</v>
      </c>
    </row>
    <row r="90" spans="2:7" x14ac:dyDescent="0.2">
      <c r="B90" s="3"/>
      <c r="D90"/>
      <c r="F90">
        <f t="shared" si="1"/>
        <v>0</v>
      </c>
      <c r="G90">
        <f t="shared" si="1"/>
        <v>0</v>
      </c>
    </row>
    <row r="91" spans="2:7" x14ac:dyDescent="0.2">
      <c r="B91" s="3"/>
      <c r="D91"/>
      <c r="F91">
        <f t="shared" si="1"/>
        <v>0</v>
      </c>
      <c r="G91">
        <f t="shared" si="1"/>
        <v>0</v>
      </c>
    </row>
    <row r="92" spans="2:7" x14ac:dyDescent="0.2">
      <c r="B92" s="3"/>
      <c r="D92"/>
      <c r="F92">
        <f t="shared" si="1"/>
        <v>0</v>
      </c>
      <c r="G92">
        <f t="shared" si="1"/>
        <v>0</v>
      </c>
    </row>
    <row r="93" spans="2:7" x14ac:dyDescent="0.2">
      <c r="B93" s="3"/>
      <c r="D93"/>
      <c r="F93">
        <f t="shared" si="1"/>
        <v>0</v>
      </c>
      <c r="G93">
        <f t="shared" si="1"/>
        <v>0</v>
      </c>
    </row>
    <row r="94" spans="2:7" x14ac:dyDescent="0.2">
      <c r="B94" s="3"/>
      <c r="D94"/>
      <c r="F94">
        <f t="shared" si="1"/>
        <v>0</v>
      </c>
      <c r="G94">
        <f t="shared" si="1"/>
        <v>0</v>
      </c>
    </row>
    <row r="95" spans="2:7" x14ac:dyDescent="0.2">
      <c r="B95" s="3"/>
      <c r="D95"/>
      <c r="F95">
        <f t="shared" si="1"/>
        <v>0</v>
      </c>
      <c r="G95">
        <f t="shared" si="1"/>
        <v>0</v>
      </c>
    </row>
    <row r="96" spans="2:7" x14ac:dyDescent="0.2">
      <c r="B96" s="3"/>
      <c r="D96"/>
      <c r="F96">
        <f t="shared" si="1"/>
        <v>0</v>
      </c>
      <c r="G96">
        <f t="shared" si="1"/>
        <v>0</v>
      </c>
    </row>
    <row r="97" spans="2:7" x14ac:dyDescent="0.2">
      <c r="B97" s="3"/>
      <c r="D97"/>
      <c r="F97">
        <f t="shared" si="1"/>
        <v>0</v>
      </c>
      <c r="G97">
        <f t="shared" si="1"/>
        <v>0</v>
      </c>
    </row>
    <row r="98" spans="2:7" x14ac:dyDescent="0.2">
      <c r="B98" s="3"/>
      <c r="D98"/>
      <c r="F98">
        <f t="shared" si="1"/>
        <v>0</v>
      </c>
      <c r="G98">
        <f t="shared" si="1"/>
        <v>0</v>
      </c>
    </row>
    <row r="99" spans="2:7" x14ac:dyDescent="0.2">
      <c r="B99" s="3"/>
      <c r="D99"/>
      <c r="F99">
        <f t="shared" si="1"/>
        <v>0</v>
      </c>
      <c r="G99">
        <f t="shared" si="1"/>
        <v>0</v>
      </c>
    </row>
    <row r="100" spans="2:7" x14ac:dyDescent="0.2">
      <c r="B100" s="3"/>
      <c r="D100"/>
      <c r="F100">
        <f t="shared" si="1"/>
        <v>0</v>
      </c>
      <c r="G100">
        <f t="shared" si="1"/>
        <v>0</v>
      </c>
    </row>
    <row r="101" spans="2:7" x14ac:dyDescent="0.2">
      <c r="B101" s="3"/>
      <c r="D101"/>
      <c r="F101">
        <f t="shared" si="1"/>
        <v>0</v>
      </c>
      <c r="G101">
        <f t="shared" si="1"/>
        <v>0</v>
      </c>
    </row>
    <row r="103" spans="2:7" x14ac:dyDescent="0.2">
      <c r="F103" s="10">
        <f>SUM(F2:F101)</f>
        <v>0</v>
      </c>
      <c r="G103" s="10">
        <f>SUM(G2:G101)</f>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95627-F590-E544-BABB-2D9C389F2005}">
  <dimension ref="A1:G103"/>
  <sheetViews>
    <sheetView workbookViewId="0">
      <selection sqref="A1:XFD1048576"/>
    </sheetView>
  </sheetViews>
  <sheetFormatPr baseColWidth="10" defaultRowHeight="15" x14ac:dyDescent="0.2"/>
  <cols>
    <col min="1" max="1" width="41.83203125" style="3" customWidth="1"/>
    <col min="2" max="2" width="56.1640625" style="7" customWidth="1"/>
    <col min="4" max="4" width="15.1640625" style="9" customWidth="1"/>
    <col min="5" max="5" width="13.33203125" customWidth="1"/>
  </cols>
  <sheetData>
    <row r="1" spans="1:7" ht="16" x14ac:dyDescent="0.2">
      <c r="A1" s="2" t="s">
        <v>0</v>
      </c>
      <c r="B1" s="6" t="s">
        <v>43</v>
      </c>
      <c r="C1" s="1" t="s">
        <v>1</v>
      </c>
      <c r="D1" s="8" t="s">
        <v>44</v>
      </c>
      <c r="E1" s="1" t="s">
        <v>45</v>
      </c>
      <c r="F1" s="1" t="s">
        <v>44</v>
      </c>
      <c r="G1" s="1" t="s">
        <v>45</v>
      </c>
    </row>
    <row r="2" spans="1:7" x14ac:dyDescent="0.2">
      <c r="B2" s="3"/>
      <c r="D2"/>
      <c r="F2">
        <f>IF(D2="",0,1)</f>
        <v>0</v>
      </c>
      <c r="G2">
        <f>IF(E2="",0,1)</f>
        <v>0</v>
      </c>
    </row>
    <row r="3" spans="1:7" x14ac:dyDescent="0.2">
      <c r="B3" s="3"/>
      <c r="D3"/>
      <c r="F3">
        <f t="shared" ref="F3:G66" si="0">IF(D3="",0,1)</f>
        <v>0</v>
      </c>
      <c r="G3">
        <f t="shared" si="0"/>
        <v>0</v>
      </c>
    </row>
    <row r="4" spans="1:7" x14ac:dyDescent="0.2">
      <c r="B4" s="3"/>
      <c r="D4"/>
      <c r="F4">
        <f t="shared" si="0"/>
        <v>0</v>
      </c>
      <c r="G4">
        <f t="shared" si="0"/>
        <v>0</v>
      </c>
    </row>
    <row r="5" spans="1:7" x14ac:dyDescent="0.2">
      <c r="B5" s="3"/>
      <c r="D5"/>
      <c r="F5">
        <f t="shared" si="0"/>
        <v>0</v>
      </c>
      <c r="G5">
        <f t="shared" si="0"/>
        <v>0</v>
      </c>
    </row>
    <row r="6" spans="1:7" x14ac:dyDescent="0.2">
      <c r="B6" s="3"/>
      <c r="D6"/>
      <c r="F6">
        <f t="shared" si="0"/>
        <v>0</v>
      </c>
      <c r="G6">
        <f t="shared" si="0"/>
        <v>0</v>
      </c>
    </row>
    <row r="7" spans="1:7" x14ac:dyDescent="0.2">
      <c r="B7" s="3"/>
      <c r="D7"/>
      <c r="F7">
        <f t="shared" si="0"/>
        <v>0</v>
      </c>
      <c r="G7">
        <f t="shared" si="0"/>
        <v>0</v>
      </c>
    </row>
    <row r="8" spans="1:7" x14ac:dyDescent="0.2">
      <c r="B8" s="3"/>
      <c r="D8"/>
      <c r="F8">
        <f t="shared" si="0"/>
        <v>0</v>
      </c>
      <c r="G8">
        <f t="shared" si="0"/>
        <v>0</v>
      </c>
    </row>
    <row r="9" spans="1:7" x14ac:dyDescent="0.2">
      <c r="B9" s="3"/>
      <c r="D9"/>
      <c r="F9">
        <f t="shared" si="0"/>
        <v>0</v>
      </c>
      <c r="G9">
        <f t="shared" si="0"/>
        <v>0</v>
      </c>
    </row>
    <row r="10" spans="1:7" x14ac:dyDescent="0.2">
      <c r="B10" s="3"/>
      <c r="D10"/>
      <c r="F10">
        <f t="shared" si="0"/>
        <v>0</v>
      </c>
      <c r="G10">
        <f t="shared" si="0"/>
        <v>0</v>
      </c>
    </row>
    <row r="11" spans="1:7" x14ac:dyDescent="0.2">
      <c r="B11" s="3"/>
      <c r="D11"/>
      <c r="F11">
        <f t="shared" si="0"/>
        <v>0</v>
      </c>
      <c r="G11">
        <f t="shared" si="0"/>
        <v>0</v>
      </c>
    </row>
    <row r="12" spans="1:7" x14ac:dyDescent="0.2">
      <c r="B12" s="3"/>
      <c r="D12"/>
      <c r="F12">
        <f t="shared" si="0"/>
        <v>0</v>
      </c>
      <c r="G12">
        <f t="shared" si="0"/>
        <v>0</v>
      </c>
    </row>
    <row r="13" spans="1:7" x14ac:dyDescent="0.2">
      <c r="B13" s="3"/>
      <c r="D13"/>
      <c r="F13">
        <f t="shared" si="0"/>
        <v>0</v>
      </c>
      <c r="G13">
        <f t="shared" si="0"/>
        <v>0</v>
      </c>
    </row>
    <row r="14" spans="1:7" x14ac:dyDescent="0.2">
      <c r="B14" s="3"/>
      <c r="D14"/>
      <c r="F14">
        <f t="shared" si="0"/>
        <v>0</v>
      </c>
      <c r="G14">
        <f t="shared" si="0"/>
        <v>0</v>
      </c>
    </row>
    <row r="15" spans="1:7" x14ac:dyDescent="0.2">
      <c r="B15" s="3"/>
      <c r="D15"/>
      <c r="F15">
        <f t="shared" si="0"/>
        <v>0</v>
      </c>
      <c r="G15">
        <f t="shared" si="0"/>
        <v>0</v>
      </c>
    </row>
    <row r="16" spans="1:7" x14ac:dyDescent="0.2">
      <c r="B16" s="3"/>
      <c r="D16"/>
      <c r="F16">
        <f t="shared" si="0"/>
        <v>0</v>
      </c>
      <c r="G16">
        <f t="shared" si="0"/>
        <v>0</v>
      </c>
    </row>
    <row r="17" spans="2:7" x14ac:dyDescent="0.2">
      <c r="B17" s="3"/>
      <c r="D17"/>
      <c r="F17">
        <f t="shared" si="0"/>
        <v>0</v>
      </c>
      <c r="G17">
        <f t="shared" si="0"/>
        <v>0</v>
      </c>
    </row>
    <row r="18" spans="2:7" x14ac:dyDescent="0.2">
      <c r="B18" s="3"/>
      <c r="D18"/>
      <c r="F18">
        <f t="shared" si="0"/>
        <v>0</v>
      </c>
      <c r="G18">
        <f t="shared" si="0"/>
        <v>0</v>
      </c>
    </row>
    <row r="19" spans="2:7" x14ac:dyDescent="0.2">
      <c r="B19" s="3"/>
      <c r="D19"/>
      <c r="F19">
        <f t="shared" si="0"/>
        <v>0</v>
      </c>
      <c r="G19">
        <f t="shared" si="0"/>
        <v>0</v>
      </c>
    </row>
    <row r="20" spans="2:7" x14ac:dyDescent="0.2">
      <c r="B20" s="3"/>
      <c r="D20"/>
      <c r="F20">
        <f t="shared" si="0"/>
        <v>0</v>
      </c>
      <c r="G20">
        <f t="shared" si="0"/>
        <v>0</v>
      </c>
    </row>
    <row r="21" spans="2:7" x14ac:dyDescent="0.2">
      <c r="B21" s="3"/>
      <c r="D21"/>
      <c r="F21">
        <f t="shared" si="0"/>
        <v>0</v>
      </c>
      <c r="G21">
        <f t="shared" si="0"/>
        <v>0</v>
      </c>
    </row>
    <row r="22" spans="2:7" x14ac:dyDescent="0.2">
      <c r="B22" s="3"/>
      <c r="D22"/>
      <c r="F22">
        <f t="shared" si="0"/>
        <v>0</v>
      </c>
      <c r="G22">
        <f t="shared" si="0"/>
        <v>0</v>
      </c>
    </row>
    <row r="23" spans="2:7" x14ac:dyDescent="0.2">
      <c r="B23" s="3"/>
      <c r="D23"/>
      <c r="F23">
        <f t="shared" si="0"/>
        <v>0</v>
      </c>
      <c r="G23">
        <f t="shared" si="0"/>
        <v>0</v>
      </c>
    </row>
    <row r="24" spans="2:7" x14ac:dyDescent="0.2">
      <c r="B24" s="3"/>
      <c r="D24"/>
      <c r="F24">
        <f t="shared" si="0"/>
        <v>0</v>
      </c>
      <c r="G24">
        <f t="shared" si="0"/>
        <v>0</v>
      </c>
    </row>
    <row r="25" spans="2:7" x14ac:dyDescent="0.2">
      <c r="B25" s="3"/>
      <c r="D25"/>
      <c r="F25">
        <f t="shared" si="0"/>
        <v>0</v>
      </c>
      <c r="G25">
        <f t="shared" si="0"/>
        <v>0</v>
      </c>
    </row>
    <row r="26" spans="2:7" x14ac:dyDescent="0.2">
      <c r="B26" s="3"/>
      <c r="D26"/>
      <c r="F26">
        <f t="shared" si="0"/>
        <v>0</v>
      </c>
      <c r="G26">
        <f t="shared" si="0"/>
        <v>0</v>
      </c>
    </row>
    <row r="27" spans="2:7" x14ac:dyDescent="0.2">
      <c r="B27" s="3"/>
      <c r="D27"/>
      <c r="F27">
        <f t="shared" si="0"/>
        <v>0</v>
      </c>
      <c r="G27">
        <f t="shared" si="0"/>
        <v>0</v>
      </c>
    </row>
    <row r="28" spans="2:7" x14ac:dyDescent="0.2">
      <c r="B28" s="3"/>
      <c r="D28"/>
      <c r="F28">
        <f t="shared" si="0"/>
        <v>0</v>
      </c>
      <c r="G28">
        <f t="shared" si="0"/>
        <v>0</v>
      </c>
    </row>
    <row r="29" spans="2:7" x14ac:dyDescent="0.2">
      <c r="B29" s="3"/>
      <c r="D29"/>
      <c r="F29">
        <f t="shared" si="0"/>
        <v>0</v>
      </c>
      <c r="G29">
        <f t="shared" si="0"/>
        <v>0</v>
      </c>
    </row>
    <row r="30" spans="2:7" x14ac:dyDescent="0.2">
      <c r="B30" s="3"/>
      <c r="D30"/>
      <c r="F30">
        <f t="shared" si="0"/>
        <v>0</v>
      </c>
      <c r="G30">
        <f t="shared" si="0"/>
        <v>0</v>
      </c>
    </row>
    <row r="31" spans="2:7" x14ac:dyDescent="0.2">
      <c r="B31" s="3"/>
      <c r="D31"/>
      <c r="F31">
        <f t="shared" si="0"/>
        <v>0</v>
      </c>
      <c r="G31">
        <f t="shared" si="0"/>
        <v>0</v>
      </c>
    </row>
    <row r="32" spans="2:7" x14ac:dyDescent="0.2">
      <c r="B32" s="3"/>
      <c r="D32"/>
      <c r="F32">
        <f t="shared" si="0"/>
        <v>0</v>
      </c>
      <c r="G32">
        <f t="shared" si="0"/>
        <v>0</v>
      </c>
    </row>
    <row r="33" spans="2:7" x14ac:dyDescent="0.2">
      <c r="B33" s="3"/>
      <c r="D33"/>
      <c r="F33">
        <f t="shared" si="0"/>
        <v>0</v>
      </c>
      <c r="G33">
        <f t="shared" si="0"/>
        <v>0</v>
      </c>
    </row>
    <row r="34" spans="2:7" x14ac:dyDescent="0.2">
      <c r="B34" s="3"/>
      <c r="D34"/>
      <c r="F34">
        <f t="shared" si="0"/>
        <v>0</v>
      </c>
      <c r="G34">
        <f t="shared" si="0"/>
        <v>0</v>
      </c>
    </row>
    <row r="35" spans="2:7" x14ac:dyDescent="0.2">
      <c r="B35" s="3"/>
      <c r="D35"/>
      <c r="F35">
        <f t="shared" si="0"/>
        <v>0</v>
      </c>
      <c r="G35">
        <f t="shared" si="0"/>
        <v>0</v>
      </c>
    </row>
    <row r="36" spans="2:7" x14ac:dyDescent="0.2">
      <c r="B36" s="3"/>
      <c r="D36"/>
      <c r="F36">
        <f t="shared" si="0"/>
        <v>0</v>
      </c>
      <c r="G36">
        <f t="shared" si="0"/>
        <v>0</v>
      </c>
    </row>
    <row r="37" spans="2:7" x14ac:dyDescent="0.2">
      <c r="B37" s="3"/>
      <c r="D37"/>
      <c r="F37">
        <f t="shared" si="0"/>
        <v>0</v>
      </c>
      <c r="G37">
        <f t="shared" si="0"/>
        <v>0</v>
      </c>
    </row>
    <row r="38" spans="2:7" x14ac:dyDescent="0.2">
      <c r="B38" s="3"/>
      <c r="D38"/>
      <c r="F38">
        <f t="shared" si="0"/>
        <v>0</v>
      </c>
      <c r="G38">
        <f t="shared" si="0"/>
        <v>0</v>
      </c>
    </row>
    <row r="39" spans="2:7" x14ac:dyDescent="0.2">
      <c r="B39" s="3"/>
      <c r="D39"/>
      <c r="F39">
        <f t="shared" si="0"/>
        <v>0</v>
      </c>
      <c r="G39">
        <f t="shared" si="0"/>
        <v>0</v>
      </c>
    </row>
    <row r="40" spans="2:7" x14ac:dyDescent="0.2">
      <c r="B40" s="3"/>
      <c r="D40"/>
      <c r="F40">
        <f t="shared" si="0"/>
        <v>0</v>
      </c>
      <c r="G40">
        <f t="shared" si="0"/>
        <v>0</v>
      </c>
    </row>
    <row r="41" spans="2:7" x14ac:dyDescent="0.2">
      <c r="B41" s="3"/>
      <c r="D41"/>
      <c r="F41">
        <f t="shared" si="0"/>
        <v>0</v>
      </c>
      <c r="G41">
        <f t="shared" si="0"/>
        <v>0</v>
      </c>
    </row>
    <row r="42" spans="2:7" x14ac:dyDescent="0.2">
      <c r="B42" s="3"/>
      <c r="D42"/>
      <c r="F42">
        <f t="shared" si="0"/>
        <v>0</v>
      </c>
      <c r="G42">
        <f t="shared" si="0"/>
        <v>0</v>
      </c>
    </row>
    <row r="43" spans="2:7" x14ac:dyDescent="0.2">
      <c r="B43" s="3"/>
      <c r="D43"/>
      <c r="F43">
        <f t="shared" si="0"/>
        <v>0</v>
      </c>
      <c r="G43">
        <f t="shared" si="0"/>
        <v>0</v>
      </c>
    </row>
    <row r="44" spans="2:7" x14ac:dyDescent="0.2">
      <c r="B44" s="3"/>
      <c r="D44"/>
      <c r="F44">
        <f t="shared" si="0"/>
        <v>0</v>
      </c>
      <c r="G44">
        <f t="shared" si="0"/>
        <v>0</v>
      </c>
    </row>
    <row r="45" spans="2:7" x14ac:dyDescent="0.2">
      <c r="B45" s="3"/>
      <c r="D45"/>
      <c r="F45">
        <f t="shared" si="0"/>
        <v>0</v>
      </c>
      <c r="G45">
        <f t="shared" si="0"/>
        <v>0</v>
      </c>
    </row>
    <row r="46" spans="2:7" x14ac:dyDescent="0.2">
      <c r="B46" s="3"/>
      <c r="D46"/>
      <c r="F46">
        <f t="shared" si="0"/>
        <v>0</v>
      </c>
      <c r="G46">
        <f t="shared" si="0"/>
        <v>0</v>
      </c>
    </row>
    <row r="47" spans="2:7" x14ac:dyDescent="0.2">
      <c r="B47" s="3"/>
      <c r="D47"/>
      <c r="F47">
        <f t="shared" si="0"/>
        <v>0</v>
      </c>
      <c r="G47">
        <f t="shared" si="0"/>
        <v>0</v>
      </c>
    </row>
    <row r="48" spans="2:7" x14ac:dyDescent="0.2">
      <c r="B48" s="3"/>
      <c r="D48"/>
      <c r="F48">
        <f t="shared" si="0"/>
        <v>0</v>
      </c>
      <c r="G48">
        <f t="shared" si="0"/>
        <v>0</v>
      </c>
    </row>
    <row r="49" spans="2:7" x14ac:dyDescent="0.2">
      <c r="B49" s="3"/>
      <c r="D49"/>
      <c r="F49">
        <f t="shared" si="0"/>
        <v>0</v>
      </c>
      <c r="G49">
        <f t="shared" si="0"/>
        <v>0</v>
      </c>
    </row>
    <row r="50" spans="2:7" x14ac:dyDescent="0.2">
      <c r="B50" s="3"/>
      <c r="D50"/>
      <c r="F50">
        <f t="shared" si="0"/>
        <v>0</v>
      </c>
      <c r="G50">
        <f t="shared" si="0"/>
        <v>0</v>
      </c>
    </row>
    <row r="51" spans="2:7" x14ac:dyDescent="0.2">
      <c r="B51" s="3"/>
      <c r="D51"/>
      <c r="F51">
        <f t="shared" si="0"/>
        <v>0</v>
      </c>
      <c r="G51">
        <f t="shared" si="0"/>
        <v>0</v>
      </c>
    </row>
    <row r="52" spans="2:7" x14ac:dyDescent="0.2">
      <c r="B52" s="3"/>
      <c r="D52"/>
      <c r="F52">
        <f t="shared" si="0"/>
        <v>0</v>
      </c>
      <c r="G52">
        <f t="shared" si="0"/>
        <v>0</v>
      </c>
    </row>
    <row r="53" spans="2:7" x14ac:dyDescent="0.2">
      <c r="B53" s="3"/>
      <c r="D53"/>
      <c r="F53">
        <f t="shared" si="0"/>
        <v>0</v>
      </c>
      <c r="G53">
        <f t="shared" si="0"/>
        <v>0</v>
      </c>
    </row>
    <row r="54" spans="2:7" x14ac:dyDescent="0.2">
      <c r="B54" s="3"/>
      <c r="D54"/>
      <c r="F54">
        <f t="shared" si="0"/>
        <v>0</v>
      </c>
      <c r="G54">
        <f t="shared" si="0"/>
        <v>0</v>
      </c>
    </row>
    <row r="55" spans="2:7" x14ac:dyDescent="0.2">
      <c r="B55" s="3"/>
      <c r="D55"/>
      <c r="F55">
        <f t="shared" si="0"/>
        <v>0</v>
      </c>
      <c r="G55">
        <f t="shared" si="0"/>
        <v>0</v>
      </c>
    </row>
    <row r="56" spans="2:7" x14ac:dyDescent="0.2">
      <c r="B56" s="3"/>
      <c r="D56"/>
      <c r="F56">
        <f t="shared" si="0"/>
        <v>0</v>
      </c>
      <c r="G56">
        <f t="shared" si="0"/>
        <v>0</v>
      </c>
    </row>
    <row r="57" spans="2:7" x14ac:dyDescent="0.2">
      <c r="B57" s="3"/>
      <c r="D57"/>
      <c r="F57">
        <f t="shared" si="0"/>
        <v>0</v>
      </c>
      <c r="G57">
        <f t="shared" si="0"/>
        <v>0</v>
      </c>
    </row>
    <row r="58" spans="2:7" x14ac:dyDescent="0.2">
      <c r="B58" s="3"/>
      <c r="D58"/>
      <c r="F58">
        <f t="shared" si="0"/>
        <v>0</v>
      </c>
      <c r="G58">
        <f t="shared" si="0"/>
        <v>0</v>
      </c>
    </row>
    <row r="59" spans="2:7" x14ac:dyDescent="0.2">
      <c r="B59" s="3"/>
      <c r="D59"/>
      <c r="F59">
        <f t="shared" si="0"/>
        <v>0</v>
      </c>
      <c r="G59">
        <f t="shared" si="0"/>
        <v>0</v>
      </c>
    </row>
    <row r="60" spans="2:7" x14ac:dyDescent="0.2">
      <c r="B60" s="3"/>
      <c r="D60"/>
      <c r="F60">
        <f t="shared" si="0"/>
        <v>0</v>
      </c>
      <c r="G60">
        <f t="shared" si="0"/>
        <v>0</v>
      </c>
    </row>
    <row r="61" spans="2:7" x14ac:dyDescent="0.2">
      <c r="B61" s="3"/>
      <c r="D61"/>
      <c r="F61">
        <f t="shared" si="0"/>
        <v>0</v>
      </c>
      <c r="G61">
        <f t="shared" si="0"/>
        <v>0</v>
      </c>
    </row>
    <row r="62" spans="2:7" x14ac:dyDescent="0.2">
      <c r="B62" s="3"/>
      <c r="D62"/>
      <c r="F62">
        <f t="shared" si="0"/>
        <v>0</v>
      </c>
      <c r="G62">
        <f t="shared" si="0"/>
        <v>0</v>
      </c>
    </row>
    <row r="63" spans="2:7" x14ac:dyDescent="0.2">
      <c r="B63" s="3"/>
      <c r="D63"/>
      <c r="F63">
        <f t="shared" si="0"/>
        <v>0</v>
      </c>
      <c r="G63">
        <f t="shared" si="0"/>
        <v>0</v>
      </c>
    </row>
    <row r="64" spans="2:7" x14ac:dyDescent="0.2">
      <c r="B64" s="3"/>
      <c r="D64"/>
      <c r="F64">
        <f t="shared" si="0"/>
        <v>0</v>
      </c>
      <c r="G64">
        <f t="shared" si="0"/>
        <v>0</v>
      </c>
    </row>
    <row r="65" spans="2:7" x14ac:dyDescent="0.2">
      <c r="B65" s="3"/>
      <c r="D65"/>
      <c r="F65">
        <f t="shared" si="0"/>
        <v>0</v>
      </c>
      <c r="G65">
        <f t="shared" si="0"/>
        <v>0</v>
      </c>
    </row>
    <row r="66" spans="2:7" x14ac:dyDescent="0.2">
      <c r="B66" s="3"/>
      <c r="D66"/>
      <c r="F66">
        <f t="shared" si="0"/>
        <v>0</v>
      </c>
      <c r="G66">
        <f t="shared" si="0"/>
        <v>0</v>
      </c>
    </row>
    <row r="67" spans="2:7" x14ac:dyDescent="0.2">
      <c r="B67" s="3"/>
      <c r="D67"/>
      <c r="F67">
        <f t="shared" ref="F67:G101" si="1">IF(D67="",0,1)</f>
        <v>0</v>
      </c>
      <c r="G67">
        <f t="shared" si="1"/>
        <v>0</v>
      </c>
    </row>
    <row r="68" spans="2:7" x14ac:dyDescent="0.2">
      <c r="B68" s="3"/>
      <c r="D68"/>
      <c r="F68">
        <f t="shared" si="1"/>
        <v>0</v>
      </c>
      <c r="G68">
        <f t="shared" si="1"/>
        <v>0</v>
      </c>
    </row>
    <row r="69" spans="2:7" x14ac:dyDescent="0.2">
      <c r="B69" s="3"/>
      <c r="D69"/>
      <c r="F69">
        <f t="shared" si="1"/>
        <v>0</v>
      </c>
      <c r="G69">
        <f t="shared" si="1"/>
        <v>0</v>
      </c>
    </row>
    <row r="70" spans="2:7" x14ac:dyDescent="0.2">
      <c r="B70" s="3"/>
      <c r="D70"/>
      <c r="F70">
        <f t="shared" si="1"/>
        <v>0</v>
      </c>
      <c r="G70">
        <f t="shared" si="1"/>
        <v>0</v>
      </c>
    </row>
    <row r="71" spans="2:7" x14ac:dyDescent="0.2">
      <c r="B71" s="3"/>
      <c r="D71"/>
      <c r="F71">
        <f t="shared" si="1"/>
        <v>0</v>
      </c>
      <c r="G71">
        <f t="shared" si="1"/>
        <v>0</v>
      </c>
    </row>
    <row r="72" spans="2:7" x14ac:dyDescent="0.2">
      <c r="B72" s="3"/>
      <c r="D72"/>
      <c r="F72">
        <f t="shared" si="1"/>
        <v>0</v>
      </c>
      <c r="G72">
        <f t="shared" si="1"/>
        <v>0</v>
      </c>
    </row>
    <row r="73" spans="2:7" x14ac:dyDescent="0.2">
      <c r="B73" s="3"/>
      <c r="D73"/>
      <c r="F73">
        <f t="shared" si="1"/>
        <v>0</v>
      </c>
      <c r="G73">
        <f t="shared" si="1"/>
        <v>0</v>
      </c>
    </row>
    <row r="74" spans="2:7" x14ac:dyDescent="0.2">
      <c r="B74" s="3"/>
      <c r="D74"/>
      <c r="F74">
        <f t="shared" si="1"/>
        <v>0</v>
      </c>
      <c r="G74">
        <f t="shared" si="1"/>
        <v>0</v>
      </c>
    </row>
    <row r="75" spans="2:7" x14ac:dyDescent="0.2">
      <c r="B75" s="3"/>
      <c r="D75"/>
      <c r="F75">
        <f t="shared" si="1"/>
        <v>0</v>
      </c>
      <c r="G75">
        <f t="shared" si="1"/>
        <v>0</v>
      </c>
    </row>
    <row r="76" spans="2:7" x14ac:dyDescent="0.2">
      <c r="B76" s="3"/>
      <c r="D76"/>
      <c r="F76">
        <f t="shared" si="1"/>
        <v>0</v>
      </c>
      <c r="G76">
        <f t="shared" si="1"/>
        <v>0</v>
      </c>
    </row>
    <row r="77" spans="2:7" x14ac:dyDescent="0.2">
      <c r="B77" s="3"/>
      <c r="D77"/>
      <c r="F77">
        <f t="shared" si="1"/>
        <v>0</v>
      </c>
      <c r="G77">
        <f t="shared" si="1"/>
        <v>0</v>
      </c>
    </row>
    <row r="78" spans="2:7" x14ac:dyDescent="0.2">
      <c r="B78" s="3"/>
      <c r="D78"/>
      <c r="F78">
        <f t="shared" si="1"/>
        <v>0</v>
      </c>
      <c r="G78">
        <f t="shared" si="1"/>
        <v>0</v>
      </c>
    </row>
    <row r="79" spans="2:7" x14ac:dyDescent="0.2">
      <c r="B79" s="3"/>
      <c r="D79"/>
      <c r="F79">
        <f t="shared" si="1"/>
        <v>0</v>
      </c>
      <c r="G79">
        <f t="shared" si="1"/>
        <v>0</v>
      </c>
    </row>
    <row r="80" spans="2:7" x14ac:dyDescent="0.2">
      <c r="B80" s="3"/>
      <c r="D80"/>
      <c r="F80">
        <f t="shared" si="1"/>
        <v>0</v>
      </c>
      <c r="G80">
        <f t="shared" si="1"/>
        <v>0</v>
      </c>
    </row>
    <row r="81" spans="2:7" x14ac:dyDescent="0.2">
      <c r="B81" s="3"/>
      <c r="D81"/>
      <c r="F81">
        <f t="shared" si="1"/>
        <v>0</v>
      </c>
      <c r="G81">
        <f t="shared" si="1"/>
        <v>0</v>
      </c>
    </row>
    <row r="82" spans="2:7" x14ac:dyDescent="0.2">
      <c r="B82" s="3"/>
      <c r="D82"/>
      <c r="F82">
        <f t="shared" si="1"/>
        <v>0</v>
      </c>
      <c r="G82">
        <f t="shared" si="1"/>
        <v>0</v>
      </c>
    </row>
    <row r="83" spans="2:7" x14ac:dyDescent="0.2">
      <c r="B83" s="3"/>
      <c r="D83"/>
      <c r="F83">
        <f t="shared" si="1"/>
        <v>0</v>
      </c>
      <c r="G83">
        <f t="shared" si="1"/>
        <v>0</v>
      </c>
    </row>
    <row r="84" spans="2:7" x14ac:dyDescent="0.2">
      <c r="B84" s="3"/>
      <c r="D84"/>
      <c r="F84">
        <f t="shared" si="1"/>
        <v>0</v>
      </c>
      <c r="G84">
        <f t="shared" si="1"/>
        <v>0</v>
      </c>
    </row>
    <row r="85" spans="2:7" x14ac:dyDescent="0.2">
      <c r="B85" s="3"/>
      <c r="D85"/>
      <c r="F85">
        <f t="shared" si="1"/>
        <v>0</v>
      </c>
      <c r="G85">
        <f t="shared" si="1"/>
        <v>0</v>
      </c>
    </row>
    <row r="86" spans="2:7" x14ac:dyDescent="0.2">
      <c r="B86" s="3"/>
      <c r="D86"/>
      <c r="F86">
        <f t="shared" si="1"/>
        <v>0</v>
      </c>
      <c r="G86">
        <f t="shared" si="1"/>
        <v>0</v>
      </c>
    </row>
    <row r="87" spans="2:7" x14ac:dyDescent="0.2">
      <c r="B87" s="3"/>
      <c r="D87"/>
      <c r="F87">
        <f t="shared" si="1"/>
        <v>0</v>
      </c>
      <c r="G87">
        <f t="shared" si="1"/>
        <v>0</v>
      </c>
    </row>
    <row r="88" spans="2:7" x14ac:dyDescent="0.2">
      <c r="B88" s="3"/>
      <c r="D88"/>
      <c r="F88">
        <f t="shared" si="1"/>
        <v>0</v>
      </c>
      <c r="G88">
        <f t="shared" si="1"/>
        <v>0</v>
      </c>
    </row>
    <row r="89" spans="2:7" x14ac:dyDescent="0.2">
      <c r="B89" s="3"/>
      <c r="D89"/>
      <c r="F89">
        <f t="shared" si="1"/>
        <v>0</v>
      </c>
      <c r="G89">
        <f t="shared" si="1"/>
        <v>0</v>
      </c>
    </row>
    <row r="90" spans="2:7" x14ac:dyDescent="0.2">
      <c r="B90" s="3"/>
      <c r="D90"/>
      <c r="F90">
        <f t="shared" si="1"/>
        <v>0</v>
      </c>
      <c r="G90">
        <f t="shared" si="1"/>
        <v>0</v>
      </c>
    </row>
    <row r="91" spans="2:7" x14ac:dyDescent="0.2">
      <c r="B91" s="3"/>
      <c r="D91"/>
      <c r="F91">
        <f t="shared" si="1"/>
        <v>0</v>
      </c>
      <c r="G91">
        <f t="shared" si="1"/>
        <v>0</v>
      </c>
    </row>
    <row r="92" spans="2:7" x14ac:dyDescent="0.2">
      <c r="B92" s="3"/>
      <c r="D92"/>
      <c r="F92">
        <f t="shared" si="1"/>
        <v>0</v>
      </c>
      <c r="G92">
        <f t="shared" si="1"/>
        <v>0</v>
      </c>
    </row>
    <row r="93" spans="2:7" x14ac:dyDescent="0.2">
      <c r="B93" s="3"/>
      <c r="D93"/>
      <c r="F93">
        <f t="shared" si="1"/>
        <v>0</v>
      </c>
      <c r="G93">
        <f t="shared" si="1"/>
        <v>0</v>
      </c>
    </row>
    <row r="94" spans="2:7" x14ac:dyDescent="0.2">
      <c r="B94" s="3"/>
      <c r="D94"/>
      <c r="F94">
        <f t="shared" si="1"/>
        <v>0</v>
      </c>
      <c r="G94">
        <f t="shared" si="1"/>
        <v>0</v>
      </c>
    </row>
    <row r="95" spans="2:7" x14ac:dyDescent="0.2">
      <c r="B95" s="3"/>
      <c r="D95"/>
      <c r="F95">
        <f t="shared" si="1"/>
        <v>0</v>
      </c>
      <c r="G95">
        <f t="shared" si="1"/>
        <v>0</v>
      </c>
    </row>
    <row r="96" spans="2:7" x14ac:dyDescent="0.2">
      <c r="B96" s="3"/>
      <c r="D96"/>
      <c r="F96">
        <f t="shared" si="1"/>
        <v>0</v>
      </c>
      <c r="G96">
        <f t="shared" si="1"/>
        <v>0</v>
      </c>
    </row>
    <row r="97" spans="2:7" x14ac:dyDescent="0.2">
      <c r="B97" s="3"/>
      <c r="D97"/>
      <c r="F97">
        <f t="shared" si="1"/>
        <v>0</v>
      </c>
      <c r="G97">
        <f t="shared" si="1"/>
        <v>0</v>
      </c>
    </row>
    <row r="98" spans="2:7" x14ac:dyDescent="0.2">
      <c r="B98" s="3"/>
      <c r="D98"/>
      <c r="F98">
        <f t="shared" si="1"/>
        <v>0</v>
      </c>
      <c r="G98">
        <f t="shared" si="1"/>
        <v>0</v>
      </c>
    </row>
    <row r="99" spans="2:7" x14ac:dyDescent="0.2">
      <c r="B99" s="3"/>
      <c r="D99"/>
      <c r="F99">
        <f t="shared" si="1"/>
        <v>0</v>
      </c>
      <c r="G99">
        <f t="shared" si="1"/>
        <v>0</v>
      </c>
    </row>
    <row r="100" spans="2:7" x14ac:dyDescent="0.2">
      <c r="B100" s="3"/>
      <c r="D100"/>
      <c r="F100">
        <f t="shared" si="1"/>
        <v>0</v>
      </c>
      <c r="G100">
        <f t="shared" si="1"/>
        <v>0</v>
      </c>
    </row>
    <row r="101" spans="2:7" x14ac:dyDescent="0.2">
      <c r="B101" s="3"/>
      <c r="D101"/>
      <c r="F101">
        <f t="shared" si="1"/>
        <v>0</v>
      </c>
      <c r="G101">
        <f t="shared" si="1"/>
        <v>0</v>
      </c>
    </row>
    <row r="103" spans="2:7" x14ac:dyDescent="0.2">
      <c r="F103" s="10">
        <f>SUM(F2:F101)</f>
        <v>0</v>
      </c>
      <c r="G103" s="10">
        <f>SUM(G2:G101)</f>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69A7-49D9-CC49-8B39-465E252A8B5A}">
  <dimension ref="A1:G103"/>
  <sheetViews>
    <sheetView workbookViewId="0">
      <selection activeCell="N42" sqref="N42"/>
    </sheetView>
  </sheetViews>
  <sheetFormatPr baseColWidth="10" defaultRowHeight="15" x14ac:dyDescent="0.2"/>
  <cols>
    <col min="1" max="1" width="41.83203125" style="3" customWidth="1"/>
    <col min="2" max="2" width="56.1640625" style="7" customWidth="1"/>
    <col min="4" max="4" width="15.1640625" style="9" customWidth="1"/>
    <col min="5" max="5" width="13.33203125" customWidth="1"/>
  </cols>
  <sheetData>
    <row r="1" spans="1:7" ht="16" x14ac:dyDescent="0.2">
      <c r="A1" s="2" t="s">
        <v>0</v>
      </c>
      <c r="B1" s="6" t="s">
        <v>43</v>
      </c>
      <c r="C1" s="1" t="s">
        <v>1</v>
      </c>
      <c r="D1" s="8" t="s">
        <v>44</v>
      </c>
      <c r="E1" s="1" t="s">
        <v>45</v>
      </c>
      <c r="F1" s="1" t="s">
        <v>44</v>
      </c>
      <c r="G1" s="1" t="s">
        <v>45</v>
      </c>
    </row>
    <row r="2" spans="1:7" x14ac:dyDescent="0.2">
      <c r="B2" s="3"/>
      <c r="D2"/>
      <c r="F2">
        <f>IF(D2="",0,1)</f>
        <v>0</v>
      </c>
      <c r="G2">
        <f>IF(E2="",0,1)</f>
        <v>0</v>
      </c>
    </row>
    <row r="3" spans="1:7" x14ac:dyDescent="0.2">
      <c r="B3" s="3"/>
      <c r="D3"/>
      <c r="F3">
        <f t="shared" ref="F3:G66" si="0">IF(D3="",0,1)</f>
        <v>0</v>
      </c>
      <c r="G3">
        <f t="shared" si="0"/>
        <v>0</v>
      </c>
    </row>
    <row r="4" spans="1:7" x14ac:dyDescent="0.2">
      <c r="B4" s="3"/>
      <c r="D4"/>
      <c r="F4">
        <f t="shared" si="0"/>
        <v>0</v>
      </c>
      <c r="G4">
        <f t="shared" si="0"/>
        <v>0</v>
      </c>
    </row>
    <row r="5" spans="1:7" x14ac:dyDescent="0.2">
      <c r="B5" s="3"/>
      <c r="D5"/>
      <c r="F5">
        <f t="shared" si="0"/>
        <v>0</v>
      </c>
      <c r="G5">
        <f t="shared" si="0"/>
        <v>0</v>
      </c>
    </row>
    <row r="6" spans="1:7" x14ac:dyDescent="0.2">
      <c r="B6" s="3"/>
      <c r="D6"/>
      <c r="F6">
        <f t="shared" si="0"/>
        <v>0</v>
      </c>
      <c r="G6">
        <f t="shared" si="0"/>
        <v>0</v>
      </c>
    </row>
    <row r="7" spans="1:7" x14ac:dyDescent="0.2">
      <c r="B7" s="3"/>
      <c r="D7"/>
      <c r="F7">
        <f t="shared" si="0"/>
        <v>0</v>
      </c>
      <c r="G7">
        <f t="shared" si="0"/>
        <v>0</v>
      </c>
    </row>
    <row r="8" spans="1:7" x14ac:dyDescent="0.2">
      <c r="B8" s="3"/>
      <c r="D8"/>
      <c r="F8">
        <f t="shared" si="0"/>
        <v>0</v>
      </c>
      <c r="G8">
        <f t="shared" si="0"/>
        <v>0</v>
      </c>
    </row>
    <row r="9" spans="1:7" x14ac:dyDescent="0.2">
      <c r="B9" s="3"/>
      <c r="D9"/>
      <c r="F9">
        <f t="shared" si="0"/>
        <v>0</v>
      </c>
      <c r="G9">
        <f t="shared" si="0"/>
        <v>0</v>
      </c>
    </row>
    <row r="10" spans="1:7" x14ac:dyDescent="0.2">
      <c r="B10" s="3"/>
      <c r="D10"/>
      <c r="F10">
        <f t="shared" si="0"/>
        <v>0</v>
      </c>
      <c r="G10">
        <f t="shared" si="0"/>
        <v>0</v>
      </c>
    </row>
    <row r="11" spans="1:7" x14ac:dyDescent="0.2">
      <c r="B11" s="3"/>
      <c r="D11"/>
      <c r="F11">
        <f t="shared" si="0"/>
        <v>0</v>
      </c>
      <c r="G11">
        <f t="shared" si="0"/>
        <v>0</v>
      </c>
    </row>
    <row r="12" spans="1:7" x14ac:dyDescent="0.2">
      <c r="B12" s="3"/>
      <c r="D12"/>
      <c r="F12">
        <f t="shared" si="0"/>
        <v>0</v>
      </c>
      <c r="G12">
        <f t="shared" si="0"/>
        <v>0</v>
      </c>
    </row>
    <row r="13" spans="1:7" x14ac:dyDescent="0.2">
      <c r="B13" s="3"/>
      <c r="D13"/>
      <c r="F13">
        <f t="shared" si="0"/>
        <v>0</v>
      </c>
      <c r="G13">
        <f t="shared" si="0"/>
        <v>0</v>
      </c>
    </row>
    <row r="14" spans="1:7" x14ac:dyDescent="0.2">
      <c r="B14" s="3"/>
      <c r="D14"/>
      <c r="F14">
        <f t="shared" si="0"/>
        <v>0</v>
      </c>
      <c r="G14">
        <f t="shared" si="0"/>
        <v>0</v>
      </c>
    </row>
    <row r="15" spans="1:7" x14ac:dyDescent="0.2">
      <c r="B15" s="3"/>
      <c r="D15"/>
      <c r="F15">
        <f t="shared" si="0"/>
        <v>0</v>
      </c>
      <c r="G15">
        <f t="shared" si="0"/>
        <v>0</v>
      </c>
    </row>
    <row r="16" spans="1:7" x14ac:dyDescent="0.2">
      <c r="B16" s="3"/>
      <c r="D16"/>
      <c r="F16">
        <f t="shared" si="0"/>
        <v>0</v>
      </c>
      <c r="G16">
        <f t="shared" si="0"/>
        <v>0</v>
      </c>
    </row>
    <row r="17" spans="2:7" x14ac:dyDescent="0.2">
      <c r="B17" s="3"/>
      <c r="D17"/>
      <c r="F17">
        <f t="shared" si="0"/>
        <v>0</v>
      </c>
      <c r="G17">
        <f t="shared" si="0"/>
        <v>0</v>
      </c>
    </row>
    <row r="18" spans="2:7" x14ac:dyDescent="0.2">
      <c r="B18" s="3"/>
      <c r="D18"/>
      <c r="F18">
        <f t="shared" si="0"/>
        <v>0</v>
      </c>
      <c r="G18">
        <f t="shared" si="0"/>
        <v>0</v>
      </c>
    </row>
    <row r="19" spans="2:7" x14ac:dyDescent="0.2">
      <c r="B19" s="3"/>
      <c r="D19"/>
      <c r="F19">
        <f t="shared" si="0"/>
        <v>0</v>
      </c>
      <c r="G19">
        <f t="shared" si="0"/>
        <v>0</v>
      </c>
    </row>
    <row r="20" spans="2:7" x14ac:dyDescent="0.2">
      <c r="B20" s="3"/>
      <c r="D20"/>
      <c r="F20">
        <f t="shared" si="0"/>
        <v>0</v>
      </c>
      <c r="G20">
        <f t="shared" si="0"/>
        <v>0</v>
      </c>
    </row>
    <row r="21" spans="2:7" x14ac:dyDescent="0.2">
      <c r="B21" s="3"/>
      <c r="D21"/>
      <c r="F21">
        <f t="shared" si="0"/>
        <v>0</v>
      </c>
      <c r="G21">
        <f t="shared" si="0"/>
        <v>0</v>
      </c>
    </row>
    <row r="22" spans="2:7" x14ac:dyDescent="0.2">
      <c r="B22" s="3"/>
      <c r="D22"/>
      <c r="F22">
        <f t="shared" si="0"/>
        <v>0</v>
      </c>
      <c r="G22">
        <f t="shared" si="0"/>
        <v>0</v>
      </c>
    </row>
    <row r="23" spans="2:7" x14ac:dyDescent="0.2">
      <c r="B23" s="3"/>
      <c r="D23"/>
      <c r="F23">
        <f t="shared" si="0"/>
        <v>0</v>
      </c>
      <c r="G23">
        <f t="shared" si="0"/>
        <v>0</v>
      </c>
    </row>
    <row r="24" spans="2:7" x14ac:dyDescent="0.2">
      <c r="B24" s="3"/>
      <c r="D24"/>
      <c r="F24">
        <f t="shared" si="0"/>
        <v>0</v>
      </c>
      <c r="G24">
        <f t="shared" si="0"/>
        <v>0</v>
      </c>
    </row>
    <row r="25" spans="2:7" x14ac:dyDescent="0.2">
      <c r="B25" s="3"/>
      <c r="D25"/>
      <c r="F25">
        <f t="shared" si="0"/>
        <v>0</v>
      </c>
      <c r="G25">
        <f t="shared" si="0"/>
        <v>0</v>
      </c>
    </row>
    <row r="26" spans="2:7" x14ac:dyDescent="0.2">
      <c r="B26" s="3"/>
      <c r="D26"/>
      <c r="F26">
        <f t="shared" si="0"/>
        <v>0</v>
      </c>
      <c r="G26">
        <f t="shared" si="0"/>
        <v>0</v>
      </c>
    </row>
    <row r="27" spans="2:7" x14ac:dyDescent="0.2">
      <c r="B27" s="3"/>
      <c r="D27"/>
      <c r="F27">
        <f t="shared" si="0"/>
        <v>0</v>
      </c>
      <c r="G27">
        <f t="shared" si="0"/>
        <v>0</v>
      </c>
    </row>
    <row r="28" spans="2:7" x14ac:dyDescent="0.2">
      <c r="B28" s="3"/>
      <c r="D28"/>
      <c r="F28">
        <f t="shared" si="0"/>
        <v>0</v>
      </c>
      <c r="G28">
        <f t="shared" si="0"/>
        <v>0</v>
      </c>
    </row>
    <row r="29" spans="2:7" x14ac:dyDescent="0.2">
      <c r="B29" s="3"/>
      <c r="D29"/>
      <c r="F29">
        <f t="shared" si="0"/>
        <v>0</v>
      </c>
      <c r="G29">
        <f t="shared" si="0"/>
        <v>0</v>
      </c>
    </row>
    <row r="30" spans="2:7" x14ac:dyDescent="0.2">
      <c r="B30" s="3"/>
      <c r="D30"/>
      <c r="F30">
        <f t="shared" si="0"/>
        <v>0</v>
      </c>
      <c r="G30">
        <f t="shared" si="0"/>
        <v>0</v>
      </c>
    </row>
    <row r="31" spans="2:7" x14ac:dyDescent="0.2">
      <c r="B31" s="3"/>
      <c r="D31"/>
      <c r="F31">
        <f t="shared" si="0"/>
        <v>0</v>
      </c>
      <c r="G31">
        <f t="shared" si="0"/>
        <v>0</v>
      </c>
    </row>
    <row r="32" spans="2:7" x14ac:dyDescent="0.2">
      <c r="B32" s="3"/>
      <c r="D32"/>
      <c r="F32">
        <f t="shared" si="0"/>
        <v>0</v>
      </c>
      <c r="G32">
        <f t="shared" si="0"/>
        <v>0</v>
      </c>
    </row>
    <row r="33" spans="2:7" x14ac:dyDescent="0.2">
      <c r="B33" s="3"/>
      <c r="D33"/>
      <c r="F33">
        <f t="shared" si="0"/>
        <v>0</v>
      </c>
      <c r="G33">
        <f t="shared" si="0"/>
        <v>0</v>
      </c>
    </row>
    <row r="34" spans="2:7" x14ac:dyDescent="0.2">
      <c r="B34" s="3"/>
      <c r="D34"/>
      <c r="F34">
        <f t="shared" si="0"/>
        <v>0</v>
      </c>
      <c r="G34">
        <f t="shared" si="0"/>
        <v>0</v>
      </c>
    </row>
    <row r="35" spans="2:7" x14ac:dyDescent="0.2">
      <c r="B35" s="3"/>
      <c r="D35"/>
      <c r="F35">
        <f t="shared" si="0"/>
        <v>0</v>
      </c>
      <c r="G35">
        <f t="shared" si="0"/>
        <v>0</v>
      </c>
    </row>
    <row r="36" spans="2:7" x14ac:dyDescent="0.2">
      <c r="B36" s="3"/>
      <c r="D36"/>
      <c r="F36">
        <f t="shared" si="0"/>
        <v>0</v>
      </c>
      <c r="G36">
        <f t="shared" si="0"/>
        <v>0</v>
      </c>
    </row>
    <row r="37" spans="2:7" x14ac:dyDescent="0.2">
      <c r="B37" s="3"/>
      <c r="D37"/>
      <c r="F37">
        <f t="shared" si="0"/>
        <v>0</v>
      </c>
      <c r="G37">
        <f t="shared" si="0"/>
        <v>0</v>
      </c>
    </row>
    <row r="38" spans="2:7" x14ac:dyDescent="0.2">
      <c r="B38" s="3"/>
      <c r="D38"/>
      <c r="F38">
        <f t="shared" si="0"/>
        <v>0</v>
      </c>
      <c r="G38">
        <f t="shared" si="0"/>
        <v>0</v>
      </c>
    </row>
    <row r="39" spans="2:7" x14ac:dyDescent="0.2">
      <c r="B39" s="3"/>
      <c r="D39"/>
      <c r="F39">
        <f t="shared" si="0"/>
        <v>0</v>
      </c>
      <c r="G39">
        <f t="shared" si="0"/>
        <v>0</v>
      </c>
    </row>
    <row r="40" spans="2:7" x14ac:dyDescent="0.2">
      <c r="B40" s="3"/>
      <c r="D40"/>
      <c r="F40">
        <f t="shared" si="0"/>
        <v>0</v>
      </c>
      <c r="G40">
        <f t="shared" si="0"/>
        <v>0</v>
      </c>
    </row>
    <row r="41" spans="2:7" x14ac:dyDescent="0.2">
      <c r="B41" s="3"/>
      <c r="D41"/>
      <c r="F41">
        <f t="shared" si="0"/>
        <v>0</v>
      </c>
      <c r="G41">
        <f t="shared" si="0"/>
        <v>0</v>
      </c>
    </row>
    <row r="42" spans="2:7" x14ac:dyDescent="0.2">
      <c r="B42" s="3"/>
      <c r="D42"/>
      <c r="F42">
        <f t="shared" si="0"/>
        <v>0</v>
      </c>
      <c r="G42">
        <f t="shared" si="0"/>
        <v>0</v>
      </c>
    </row>
    <row r="43" spans="2:7" x14ac:dyDescent="0.2">
      <c r="B43" s="3"/>
      <c r="D43"/>
      <c r="F43">
        <f t="shared" si="0"/>
        <v>0</v>
      </c>
      <c r="G43">
        <f t="shared" si="0"/>
        <v>0</v>
      </c>
    </row>
    <row r="44" spans="2:7" x14ac:dyDescent="0.2">
      <c r="B44" s="3"/>
      <c r="D44"/>
      <c r="F44">
        <f t="shared" si="0"/>
        <v>0</v>
      </c>
      <c r="G44">
        <f t="shared" si="0"/>
        <v>0</v>
      </c>
    </row>
    <row r="45" spans="2:7" x14ac:dyDescent="0.2">
      <c r="B45" s="3"/>
      <c r="D45"/>
      <c r="F45">
        <f t="shared" si="0"/>
        <v>0</v>
      </c>
      <c r="G45">
        <f t="shared" si="0"/>
        <v>0</v>
      </c>
    </row>
    <row r="46" spans="2:7" x14ac:dyDescent="0.2">
      <c r="B46" s="3"/>
      <c r="D46"/>
      <c r="F46">
        <f t="shared" si="0"/>
        <v>0</v>
      </c>
      <c r="G46">
        <f t="shared" si="0"/>
        <v>0</v>
      </c>
    </row>
    <row r="47" spans="2:7" x14ac:dyDescent="0.2">
      <c r="B47" s="3"/>
      <c r="D47"/>
      <c r="F47">
        <f t="shared" si="0"/>
        <v>0</v>
      </c>
      <c r="G47">
        <f t="shared" si="0"/>
        <v>0</v>
      </c>
    </row>
    <row r="48" spans="2:7" x14ac:dyDescent="0.2">
      <c r="B48" s="3"/>
      <c r="D48"/>
      <c r="F48">
        <f t="shared" si="0"/>
        <v>0</v>
      </c>
      <c r="G48">
        <f t="shared" si="0"/>
        <v>0</v>
      </c>
    </row>
    <row r="49" spans="2:7" x14ac:dyDescent="0.2">
      <c r="B49" s="3"/>
      <c r="D49"/>
      <c r="F49">
        <f t="shared" si="0"/>
        <v>0</v>
      </c>
      <c r="G49">
        <f t="shared" si="0"/>
        <v>0</v>
      </c>
    </row>
    <row r="50" spans="2:7" x14ac:dyDescent="0.2">
      <c r="B50" s="3"/>
      <c r="D50"/>
      <c r="F50">
        <f t="shared" si="0"/>
        <v>0</v>
      </c>
      <c r="G50">
        <f t="shared" si="0"/>
        <v>0</v>
      </c>
    </row>
    <row r="51" spans="2:7" x14ac:dyDescent="0.2">
      <c r="B51" s="3"/>
      <c r="D51"/>
      <c r="F51">
        <f t="shared" si="0"/>
        <v>0</v>
      </c>
      <c r="G51">
        <f t="shared" si="0"/>
        <v>0</v>
      </c>
    </row>
    <row r="52" spans="2:7" x14ac:dyDescent="0.2">
      <c r="B52" s="3"/>
      <c r="D52"/>
      <c r="F52">
        <f t="shared" si="0"/>
        <v>0</v>
      </c>
      <c r="G52">
        <f t="shared" si="0"/>
        <v>0</v>
      </c>
    </row>
    <row r="53" spans="2:7" x14ac:dyDescent="0.2">
      <c r="B53" s="3"/>
      <c r="D53"/>
      <c r="F53">
        <f t="shared" si="0"/>
        <v>0</v>
      </c>
      <c r="G53">
        <f t="shared" si="0"/>
        <v>0</v>
      </c>
    </row>
    <row r="54" spans="2:7" x14ac:dyDescent="0.2">
      <c r="B54" s="3"/>
      <c r="D54"/>
      <c r="F54">
        <f t="shared" si="0"/>
        <v>0</v>
      </c>
      <c r="G54">
        <f t="shared" si="0"/>
        <v>0</v>
      </c>
    </row>
    <row r="55" spans="2:7" x14ac:dyDescent="0.2">
      <c r="B55" s="3"/>
      <c r="D55"/>
      <c r="F55">
        <f t="shared" si="0"/>
        <v>0</v>
      </c>
      <c r="G55">
        <f t="shared" si="0"/>
        <v>0</v>
      </c>
    </row>
    <row r="56" spans="2:7" x14ac:dyDescent="0.2">
      <c r="B56" s="3"/>
      <c r="D56"/>
      <c r="F56">
        <f t="shared" si="0"/>
        <v>0</v>
      </c>
      <c r="G56">
        <f t="shared" si="0"/>
        <v>0</v>
      </c>
    </row>
    <row r="57" spans="2:7" x14ac:dyDescent="0.2">
      <c r="B57" s="3"/>
      <c r="D57"/>
      <c r="F57">
        <f t="shared" si="0"/>
        <v>0</v>
      </c>
      <c r="G57">
        <f t="shared" si="0"/>
        <v>0</v>
      </c>
    </row>
    <row r="58" spans="2:7" x14ac:dyDescent="0.2">
      <c r="B58" s="3"/>
      <c r="D58"/>
      <c r="F58">
        <f t="shared" si="0"/>
        <v>0</v>
      </c>
      <c r="G58">
        <f t="shared" si="0"/>
        <v>0</v>
      </c>
    </row>
    <row r="59" spans="2:7" x14ac:dyDescent="0.2">
      <c r="B59" s="3"/>
      <c r="D59"/>
      <c r="F59">
        <f t="shared" si="0"/>
        <v>0</v>
      </c>
      <c r="G59">
        <f t="shared" si="0"/>
        <v>0</v>
      </c>
    </row>
    <row r="60" spans="2:7" x14ac:dyDescent="0.2">
      <c r="B60" s="3"/>
      <c r="D60"/>
      <c r="F60">
        <f t="shared" si="0"/>
        <v>0</v>
      </c>
      <c r="G60">
        <f t="shared" si="0"/>
        <v>0</v>
      </c>
    </row>
    <row r="61" spans="2:7" x14ac:dyDescent="0.2">
      <c r="B61" s="3"/>
      <c r="D61"/>
      <c r="F61">
        <f t="shared" si="0"/>
        <v>0</v>
      </c>
      <c r="G61">
        <f t="shared" si="0"/>
        <v>0</v>
      </c>
    </row>
    <row r="62" spans="2:7" x14ac:dyDescent="0.2">
      <c r="B62" s="3"/>
      <c r="D62"/>
      <c r="F62">
        <f t="shared" si="0"/>
        <v>0</v>
      </c>
      <c r="G62">
        <f t="shared" si="0"/>
        <v>0</v>
      </c>
    </row>
    <row r="63" spans="2:7" x14ac:dyDescent="0.2">
      <c r="B63" s="3"/>
      <c r="D63"/>
      <c r="F63">
        <f t="shared" si="0"/>
        <v>0</v>
      </c>
      <c r="G63">
        <f t="shared" si="0"/>
        <v>0</v>
      </c>
    </row>
    <row r="64" spans="2:7" x14ac:dyDescent="0.2">
      <c r="B64" s="3"/>
      <c r="D64"/>
      <c r="F64">
        <f t="shared" si="0"/>
        <v>0</v>
      </c>
      <c r="G64">
        <f t="shared" si="0"/>
        <v>0</v>
      </c>
    </row>
    <row r="65" spans="2:7" x14ac:dyDescent="0.2">
      <c r="B65" s="3"/>
      <c r="D65"/>
      <c r="F65">
        <f t="shared" si="0"/>
        <v>0</v>
      </c>
      <c r="G65">
        <f t="shared" si="0"/>
        <v>0</v>
      </c>
    </row>
    <row r="66" spans="2:7" x14ac:dyDescent="0.2">
      <c r="B66" s="3"/>
      <c r="D66"/>
      <c r="F66">
        <f t="shared" si="0"/>
        <v>0</v>
      </c>
      <c r="G66">
        <f t="shared" si="0"/>
        <v>0</v>
      </c>
    </row>
    <row r="67" spans="2:7" x14ac:dyDescent="0.2">
      <c r="B67" s="3"/>
      <c r="D67"/>
      <c r="F67">
        <f t="shared" ref="F67:G101" si="1">IF(D67="",0,1)</f>
        <v>0</v>
      </c>
      <c r="G67">
        <f t="shared" si="1"/>
        <v>0</v>
      </c>
    </row>
    <row r="68" spans="2:7" x14ac:dyDescent="0.2">
      <c r="B68" s="3"/>
      <c r="D68"/>
      <c r="F68">
        <f t="shared" si="1"/>
        <v>0</v>
      </c>
      <c r="G68">
        <f t="shared" si="1"/>
        <v>0</v>
      </c>
    </row>
    <row r="69" spans="2:7" x14ac:dyDescent="0.2">
      <c r="B69" s="3"/>
      <c r="D69"/>
      <c r="F69">
        <f t="shared" si="1"/>
        <v>0</v>
      </c>
      <c r="G69">
        <f t="shared" si="1"/>
        <v>0</v>
      </c>
    </row>
    <row r="70" spans="2:7" x14ac:dyDescent="0.2">
      <c r="B70" s="3"/>
      <c r="D70"/>
      <c r="F70">
        <f t="shared" si="1"/>
        <v>0</v>
      </c>
      <c r="G70">
        <f t="shared" si="1"/>
        <v>0</v>
      </c>
    </row>
    <row r="71" spans="2:7" x14ac:dyDescent="0.2">
      <c r="B71" s="3"/>
      <c r="D71"/>
      <c r="F71">
        <f t="shared" si="1"/>
        <v>0</v>
      </c>
      <c r="G71">
        <f t="shared" si="1"/>
        <v>0</v>
      </c>
    </row>
    <row r="72" spans="2:7" x14ac:dyDescent="0.2">
      <c r="B72" s="3"/>
      <c r="D72"/>
      <c r="F72">
        <f t="shared" si="1"/>
        <v>0</v>
      </c>
      <c r="G72">
        <f t="shared" si="1"/>
        <v>0</v>
      </c>
    </row>
    <row r="73" spans="2:7" x14ac:dyDescent="0.2">
      <c r="B73" s="3"/>
      <c r="D73"/>
      <c r="F73">
        <f t="shared" si="1"/>
        <v>0</v>
      </c>
      <c r="G73">
        <f t="shared" si="1"/>
        <v>0</v>
      </c>
    </row>
    <row r="74" spans="2:7" x14ac:dyDescent="0.2">
      <c r="B74" s="3"/>
      <c r="D74"/>
      <c r="F74">
        <f t="shared" si="1"/>
        <v>0</v>
      </c>
      <c r="G74">
        <f t="shared" si="1"/>
        <v>0</v>
      </c>
    </row>
    <row r="75" spans="2:7" x14ac:dyDescent="0.2">
      <c r="B75" s="3"/>
      <c r="D75"/>
      <c r="F75">
        <f t="shared" si="1"/>
        <v>0</v>
      </c>
      <c r="G75">
        <f t="shared" si="1"/>
        <v>0</v>
      </c>
    </row>
    <row r="76" spans="2:7" x14ac:dyDescent="0.2">
      <c r="B76" s="3"/>
      <c r="D76"/>
      <c r="F76">
        <f t="shared" si="1"/>
        <v>0</v>
      </c>
      <c r="G76">
        <f t="shared" si="1"/>
        <v>0</v>
      </c>
    </row>
    <row r="77" spans="2:7" x14ac:dyDescent="0.2">
      <c r="B77" s="3"/>
      <c r="D77"/>
      <c r="F77">
        <f t="shared" si="1"/>
        <v>0</v>
      </c>
      <c r="G77">
        <f t="shared" si="1"/>
        <v>0</v>
      </c>
    </row>
    <row r="78" spans="2:7" x14ac:dyDescent="0.2">
      <c r="B78" s="3"/>
      <c r="D78"/>
      <c r="F78">
        <f t="shared" si="1"/>
        <v>0</v>
      </c>
      <c r="G78">
        <f t="shared" si="1"/>
        <v>0</v>
      </c>
    </row>
    <row r="79" spans="2:7" x14ac:dyDescent="0.2">
      <c r="B79" s="3"/>
      <c r="D79"/>
      <c r="F79">
        <f t="shared" si="1"/>
        <v>0</v>
      </c>
      <c r="G79">
        <f t="shared" si="1"/>
        <v>0</v>
      </c>
    </row>
    <row r="80" spans="2:7" x14ac:dyDescent="0.2">
      <c r="B80" s="3"/>
      <c r="D80"/>
      <c r="F80">
        <f t="shared" si="1"/>
        <v>0</v>
      </c>
      <c r="G80">
        <f t="shared" si="1"/>
        <v>0</v>
      </c>
    </row>
    <row r="81" spans="2:7" x14ac:dyDescent="0.2">
      <c r="B81" s="3"/>
      <c r="D81"/>
      <c r="F81">
        <f t="shared" si="1"/>
        <v>0</v>
      </c>
      <c r="G81">
        <f t="shared" si="1"/>
        <v>0</v>
      </c>
    </row>
    <row r="82" spans="2:7" x14ac:dyDescent="0.2">
      <c r="B82" s="3"/>
      <c r="D82"/>
      <c r="F82">
        <f t="shared" si="1"/>
        <v>0</v>
      </c>
      <c r="G82">
        <f t="shared" si="1"/>
        <v>0</v>
      </c>
    </row>
    <row r="83" spans="2:7" x14ac:dyDescent="0.2">
      <c r="B83" s="3"/>
      <c r="D83"/>
      <c r="F83">
        <f t="shared" si="1"/>
        <v>0</v>
      </c>
      <c r="G83">
        <f t="shared" si="1"/>
        <v>0</v>
      </c>
    </row>
    <row r="84" spans="2:7" x14ac:dyDescent="0.2">
      <c r="B84" s="3"/>
      <c r="D84"/>
      <c r="F84">
        <f t="shared" si="1"/>
        <v>0</v>
      </c>
      <c r="G84">
        <f t="shared" si="1"/>
        <v>0</v>
      </c>
    </row>
    <row r="85" spans="2:7" x14ac:dyDescent="0.2">
      <c r="B85" s="3"/>
      <c r="D85"/>
      <c r="F85">
        <f t="shared" si="1"/>
        <v>0</v>
      </c>
      <c r="G85">
        <f t="shared" si="1"/>
        <v>0</v>
      </c>
    </row>
    <row r="86" spans="2:7" x14ac:dyDescent="0.2">
      <c r="B86" s="3"/>
      <c r="D86"/>
      <c r="F86">
        <f t="shared" si="1"/>
        <v>0</v>
      </c>
      <c r="G86">
        <f t="shared" si="1"/>
        <v>0</v>
      </c>
    </row>
    <row r="87" spans="2:7" x14ac:dyDescent="0.2">
      <c r="B87" s="3"/>
      <c r="D87"/>
      <c r="F87">
        <f t="shared" si="1"/>
        <v>0</v>
      </c>
      <c r="G87">
        <f t="shared" si="1"/>
        <v>0</v>
      </c>
    </row>
    <row r="88" spans="2:7" x14ac:dyDescent="0.2">
      <c r="B88" s="3"/>
      <c r="D88"/>
      <c r="F88">
        <f t="shared" si="1"/>
        <v>0</v>
      </c>
      <c r="G88">
        <f t="shared" si="1"/>
        <v>0</v>
      </c>
    </row>
    <row r="89" spans="2:7" x14ac:dyDescent="0.2">
      <c r="B89" s="3"/>
      <c r="D89"/>
      <c r="F89">
        <f t="shared" si="1"/>
        <v>0</v>
      </c>
      <c r="G89">
        <f t="shared" si="1"/>
        <v>0</v>
      </c>
    </row>
    <row r="90" spans="2:7" x14ac:dyDescent="0.2">
      <c r="B90" s="3"/>
      <c r="D90"/>
      <c r="F90">
        <f t="shared" si="1"/>
        <v>0</v>
      </c>
      <c r="G90">
        <f t="shared" si="1"/>
        <v>0</v>
      </c>
    </row>
    <row r="91" spans="2:7" x14ac:dyDescent="0.2">
      <c r="B91" s="3"/>
      <c r="D91"/>
      <c r="F91">
        <f t="shared" si="1"/>
        <v>0</v>
      </c>
      <c r="G91">
        <f t="shared" si="1"/>
        <v>0</v>
      </c>
    </row>
    <row r="92" spans="2:7" x14ac:dyDescent="0.2">
      <c r="B92" s="3"/>
      <c r="D92"/>
      <c r="F92">
        <f t="shared" si="1"/>
        <v>0</v>
      </c>
      <c r="G92">
        <f t="shared" si="1"/>
        <v>0</v>
      </c>
    </row>
    <row r="93" spans="2:7" x14ac:dyDescent="0.2">
      <c r="B93" s="3"/>
      <c r="D93"/>
      <c r="F93">
        <f t="shared" si="1"/>
        <v>0</v>
      </c>
      <c r="G93">
        <f t="shared" si="1"/>
        <v>0</v>
      </c>
    </row>
    <row r="94" spans="2:7" x14ac:dyDescent="0.2">
      <c r="B94" s="3"/>
      <c r="D94"/>
      <c r="F94">
        <f t="shared" si="1"/>
        <v>0</v>
      </c>
      <c r="G94">
        <f t="shared" si="1"/>
        <v>0</v>
      </c>
    </row>
    <row r="95" spans="2:7" x14ac:dyDescent="0.2">
      <c r="B95" s="3"/>
      <c r="D95"/>
      <c r="F95">
        <f t="shared" si="1"/>
        <v>0</v>
      </c>
      <c r="G95">
        <f t="shared" si="1"/>
        <v>0</v>
      </c>
    </row>
    <row r="96" spans="2:7" x14ac:dyDescent="0.2">
      <c r="B96" s="3"/>
      <c r="D96"/>
      <c r="F96">
        <f t="shared" si="1"/>
        <v>0</v>
      </c>
      <c r="G96">
        <f t="shared" si="1"/>
        <v>0</v>
      </c>
    </row>
    <row r="97" spans="2:7" x14ac:dyDescent="0.2">
      <c r="B97" s="3"/>
      <c r="D97"/>
      <c r="F97">
        <f t="shared" si="1"/>
        <v>0</v>
      </c>
      <c r="G97">
        <f t="shared" si="1"/>
        <v>0</v>
      </c>
    </row>
    <row r="98" spans="2:7" x14ac:dyDescent="0.2">
      <c r="B98" s="3"/>
      <c r="D98"/>
      <c r="F98">
        <f t="shared" si="1"/>
        <v>0</v>
      </c>
      <c r="G98">
        <f t="shared" si="1"/>
        <v>0</v>
      </c>
    </row>
    <row r="99" spans="2:7" x14ac:dyDescent="0.2">
      <c r="B99" s="3"/>
      <c r="D99"/>
      <c r="F99">
        <f t="shared" si="1"/>
        <v>0</v>
      </c>
      <c r="G99">
        <f t="shared" si="1"/>
        <v>0</v>
      </c>
    </row>
    <row r="100" spans="2:7" x14ac:dyDescent="0.2">
      <c r="B100" s="3"/>
      <c r="D100"/>
      <c r="F100">
        <f t="shared" si="1"/>
        <v>0</v>
      </c>
      <c r="G100">
        <f t="shared" si="1"/>
        <v>0</v>
      </c>
    </row>
    <row r="101" spans="2:7" x14ac:dyDescent="0.2">
      <c r="B101" s="3"/>
      <c r="D101"/>
      <c r="F101">
        <f t="shared" si="1"/>
        <v>0</v>
      </c>
      <c r="G101">
        <f t="shared" si="1"/>
        <v>0</v>
      </c>
    </row>
    <row r="103" spans="2:7" x14ac:dyDescent="0.2">
      <c r="F103" s="10">
        <f>SUM(F2:F101)</f>
        <v>0</v>
      </c>
      <c r="G103" s="10">
        <f>SUM(G2:G101)</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31</vt:i4>
      </vt:variant>
    </vt:vector>
  </HeadingPairs>
  <TitlesOfParts>
    <vt:vector size="31" baseType="lpstr">
      <vt:lpstr>synthesis</vt:lpstr>
      <vt:lpstr>ar_DZA_alnaha</vt:lpstr>
      <vt:lpstr>ar_EGY_alwafd</vt:lpstr>
      <vt:lpstr>fa_IRN_hamsha</vt:lpstr>
      <vt:lpstr>tr_TUR_sabah</vt:lpstr>
      <vt:lpstr>ru_RUS_nezgaz</vt:lpstr>
      <vt:lpstr>ru_UKR_fakty</vt:lpstr>
      <vt:lpstr>id_IDN_republ</vt:lpstr>
      <vt:lpstr>pt_BRA_oglobo</vt:lpstr>
      <vt:lpstr>fr_FRA_lmonde</vt:lpstr>
      <vt:lpstr>it_ITA_repubb</vt:lpstr>
      <vt:lpstr>es_ARG_nacion</vt:lpstr>
      <vt:lpstr>es_MEX_infom</vt:lpstr>
      <vt:lpstr>es_ESP_abc</vt:lpstr>
      <vt:lpstr>jp_JPN_shikok</vt:lpstr>
      <vt:lpstr>de_DEU_frankf</vt:lpstr>
      <vt:lpstr>en_CAN_tostar</vt:lpstr>
      <vt:lpstr>en_IND_tindia</vt:lpstr>
      <vt:lpstr>en_AUS_sydmor</vt:lpstr>
      <vt:lpstr>en_CHN_mopost</vt:lpstr>
      <vt:lpstr>en_GBR_indept</vt:lpstr>
      <vt:lpstr>en_ISR_jerpos</vt:lpstr>
      <vt:lpstr>en_KEN_standa</vt:lpstr>
      <vt:lpstr>en_NGA_vangua</vt:lpstr>
      <vt:lpstr>en_PAK_thenew</vt:lpstr>
      <vt:lpstr>en_SGP_today</vt:lpstr>
      <vt:lpstr>en_USA_nytime</vt:lpstr>
      <vt:lpstr>en_ZAF_times</vt:lpstr>
      <vt:lpstr>Feuil4</vt:lpstr>
      <vt:lpstr>Feuil2</vt:lpstr>
      <vt:lpstr>Feuil8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Author</cp:lastModifiedBy>
  <dcterms:created xsi:type="dcterms:W3CDTF">2026-05-20T16:30:53Z</dcterms:created>
  <dcterms:modified xsi:type="dcterms:W3CDTF">2026-05-27T10:13:52Z</dcterms:modified>
</cp:coreProperties>
</file>